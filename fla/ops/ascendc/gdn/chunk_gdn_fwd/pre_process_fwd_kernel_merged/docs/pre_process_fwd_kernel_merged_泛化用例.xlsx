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c57c75fa9743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用例表" sheetId="1" r:id="Rd6e5bcd040a34d0b"/>
    <x:sheet xmlns:r="http://schemas.openxmlformats.org/officeDocument/2006/relationships" name="异常用例" sheetId="2" r:id="R89d35a4758a54b55"/>
    <x:sheet xmlns:r="http://schemas.openxmlformats.org/officeDocument/2006/relationships" name="覆盖矩阵与说明" sheetId="3" r:id="Rfc285569826c40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sz val="14"/>
      <x:color rgb="FF1F2933"/>
      <x:name val="Arial"/>
    </x:font>
    <x:font>
      <x:i/>
      <x:sz val="9"/>
      <x:color rgb="FF52606D"/>
      <x:name val="Arial"/>
    </x:font>
    <x:font>
      <x:b/>
      <x:sz val="10"/>
      <x:color rgb="FFFFFFFF"/>
      <x:name val="Arial"/>
    </x:font>
    <x:font>
      <x:sz val="10"/>
      <x:color rgb="FF1F2933"/>
      <x:name val="Arial"/>
    </x:font>
    <x:font>
      <x:sz val="14"/>
      <x:color rgb="FF1F2933"/>
      <x:name val="Arial"/>
    </x:font>
    <x:font>
      <x:b/>
      <x:sz val="11"/>
      <x:color rgb="FF1F29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F3E46"/>
      </x:patternFill>
    </x:fill>
    <x:fill>
      <x:patternFill patternType="solid">
        <x:fgColor rgb="FFF5F7F8"/>
      </x:patternFill>
    </x:fill>
  </x:fills>
  <x:borders count="6">
    <x:border/>
    <x:border>
      <x:bottom style="thin">
        <x:color rgb="FF9AA5B1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4E7EB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0"/>
    </x:xf>
    <x:xf numFmtId="0" fontId="3" fillId="2" borderId="3" xfId="0" applyNumberFormat="1" applyFont="1" applyFill="1" applyBorder="1" applyAlignment="1">
      <x:alignment wrapText="0"/>
    </x:xf>
    <x:xf numFmtId="0" fontId="3" fillId="2" borderId="4" xfId="0" applyNumberFormat="1" applyFont="1" applyFill="1" applyBorder="1" applyAlignment="1">
      <x:alignment wrapText="0"/>
    </x:xf>
    <x:xf numFmtId="0" fontId="3" fillId="2" borderId="2" xfId="0" applyNumberFormat="1" applyFont="1" applyFill="1" applyBorder="1" applyAlignment="1">
      <x:alignment horizontal="center" wrapText="0"/>
    </x:xf>
    <x:xf numFmtId="0" fontId="3" fillId="2" borderId="3" xfId="0" applyNumberFormat="1" applyFont="1" applyFill="1" applyBorder="1" applyAlignment="1">
      <x:alignment horizontal="center" wrapText="0"/>
    </x:xf>
    <x:xf numFmtId="0" fontId="3" fillId="2" borderId="4" xfId="0" applyNumberFormat="1" applyFont="1" applyFill="1" applyBorder="1" applyAlignment="1">
      <x:alignment horizontal="center" wrapText="0"/>
    </x:xf>
    <x:xf numFmtId="0" fontId="3" fillId="2" borderId="2" xfId="0" applyNumberFormat="1" applyFont="1" applyFill="1" applyBorder="1" applyAlignment="1">
      <x:alignment horizontal="center" vertical="center" wrapText="0"/>
    </x:xf>
    <x:xf numFmtId="0" fontId="3" fillId="2" borderId="3" xfId="0" applyNumberFormat="1" applyFont="1" applyFill="1" applyBorder="1" applyAlignment="1">
      <x:alignment horizontal="center" vertical="center" wrapText="0"/>
    </x:xf>
    <x:xf numFmtId="0" fontId="3" fillId="2" borderId="4" xfId="0" applyNumberFormat="1" applyFont="1" applyFill="1" applyBorder="1" applyAlignment="1">
      <x:alignment horizontal="center" vertical="center" wrapText="0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right" vertical="center"/>
    </x:xf>
    <x:xf numFmtId="0" fontId="4" fillId="0" borderId="5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right" vertical="center"/>
    </x:xf>
    <x:xf numFmtId="200" fontId="4" fillId="0" borderId="5" xfId="0" applyNumberFormat="1" applyFont="1" applyFill="1" applyBorder="1" applyAlignment="1">
      <x:alignment horizontal="right"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horizontal="right" vertical="center"/>
    </x:xf>
    <x:xf numFmtId="0" fontId="4" fillId="3" borderId="5" xfId="0" applyNumberFormat="1" applyFont="1" applyFill="1" applyBorder="1" applyAlignment="1">
      <x:alignment horizontal="center" vertical="center"/>
    </x:xf>
    <x:xf numFmtId="0" fontId="4" fillId="3" borderId="5" xfId="0" applyNumberFormat="1" applyFont="1" applyFill="1" applyBorder="1" applyAlignment="1">
      <x:alignment vertical="center"/>
    </x:xf>
    <x:xf numFmtId="200" fontId="4" fillId="3" borderId="5" xfId="0" applyNumberFormat="1" applyFont="1" applyFill="1" applyBorder="1" applyAlignment="1">
      <x:alignment horizontal="right" vertical="center"/>
    </x:xf>
    <x:xf numFmtId="0" fontId="4" fillId="3" borderId="0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vertical="center" wrapText="0"/>
    </x:xf>
    <x:xf numFmtId="0" fontId="4" fillId="3" borderId="5" xfId="0" applyNumberFormat="1" applyFont="1" applyFill="1" applyBorder="1" applyAlignment="1">
      <x:alignment vertical="center" wrapText="0"/>
    </x:xf>
    <x:xf numFmtId="0" fontId="5" fillId="0" borderId="0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/>
    <x:xf numFmtId="0" fontId="4" fillId="0" borderId="5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1839549757467a" /><Relationship Type="http://schemas.openxmlformats.org/officeDocument/2006/relationships/theme" Target="/xl/theme/theme1.xml" Id="R3703203d9d6349e9" /><Relationship Type="http://schemas.openxmlformats.org/officeDocument/2006/relationships/sharedStrings" Target="/xl/sharedStrings.xml" Id="Rc0c5c280ea2040ee" /><Relationship Type="http://schemas.openxmlformats.org/officeDocument/2006/relationships/worksheet" Target="/xl/worksheets/sheet1.xml" Id="Rd6e5bcd040a34d0b" /><Relationship Type="http://schemas.openxmlformats.org/officeDocument/2006/relationships/worksheet" Target="/xl/worksheets/sheet2.xml" Id="R89d35a4758a54b55" /><Relationship Type="http://schemas.openxmlformats.org/officeDocument/2006/relationships/worksheet" Target="/xl/worksheets/sheet3.xml" Id="Rfc285569826c40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F3E46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10" hidden="0" customWidth="1"/>
    <x:col min="5" max="5" width="5" hidden="0" customWidth="1"/>
    <x:col min="6" max="6" width="6" hidden="0" customWidth="1"/>
    <x:col min="7" max="7" width="6" hidden="0" customWidth="1"/>
    <x:col min="8" max="8" width="6" hidden="0" customWidth="1"/>
    <x:col min="9" max="9" width="7" hidden="0" customWidth="1"/>
    <x:col min="10" max="10" width="9" hidden="0" customWidth="1"/>
    <x:col min="11" max="11" width="6" hidden="0" customWidth="1"/>
    <x:col min="12" max="12" width="9" hidden="0" customWidth="1"/>
    <x:col min="13" max="13" width="10" hidden="0" customWidth="1"/>
    <x:col min="14" max="14" width="18" hidden="0" customWidth="1"/>
    <x:col min="15" max="15" width="6" hidden="0" customWidth="1"/>
    <x:col min="16" max="16" width="11" hidden="0" customWidth="1"/>
    <x:col min="17" max="17" width="7" hidden="0" customWidth="1"/>
    <x:col min="18" max="18" width="9" hidden="0" customWidth="1"/>
    <x:col min="19" max="19" width="52" hidden="0" customWidth="1"/>
  </x:cols>
  <x:sheetData>
    <x:row r="2">
      <x:c r="A2" s="1" t="str">
        <x:v>pre_process_fwd_kernel_merged 泛化用例表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>
      <x:c r="A4" s="3" t="str">
        <x:v>固定规格 K = V = 128、BT = 64、layout = BNSD（host 拦截其它值）；k 在 HK 维、w/v/u/g/gk 在 HV 维（GVA：HV&gt;=HK 且成倍数），hm 与两个状态在 HV 维。CP 下 T_win = 全局 T / world_size。</x:v>
      </x:c>
    </x:row>
    <x:row r="5">
      <x:c r="A5" s="3" t="str">
        <x:v>序列表达只有一种（与竞品 CP 契约一致）：varlen 打包窗口，B ≡ 1 且 cu_seqlens 必给，Nseq = len(cu_seqlens)-1。单段窗口写 [0, T_win]；等长 batch 由调用方打包成等长多段（B 条 T 长序列 ⇔ cu_seqlens=[0,T,2T,…]）。并行度 = Nseq × HV（chunk 维被依赖砍掉），一个工作项 = 一个 (段, value head)。T_win 是打包轴总长；NT/尾块按最长段算。片内用量见 docs/design.md 3.1/3.5（复算脚本 scripts/capacity_check.py）。</x:v>
      </x:c>
    </x:row>
    <x:row r="6">
      <x:c r="A6" s="3" t="str">
        <x:v>先精度、后性能：本表每条既是精度用例也是性能用例，都要同时满足精度阈值与 1.0x 性能目标。NT、尾块行数与 Nwork 由公式推出。本轮范围 GDN + KDA；DPLR 预留。性能风险列标出需要在 04 阶段就预留优化手段的用例——Nseq=1 且 HV 小时用不满核是首要阻断项。</x:v>
      </x:c>
    </x:row>
    <x:row r="8" ht="22" customHeight="1">
      <x:c r="A8" s="15" t="str">
        <x:v>用例ID</x:v>
      </x:c>
      <x:c r="B8" s="16" t="str">
        <x:v>分组</x:v>
      </x:c>
      <x:c r="C8" s="16" t="str">
        <x:v>来源</x:v>
      </x:c>
      <x:c r="D8" s="16" t="str">
        <x:v>算法路径</x:v>
      </x:c>
      <x:c r="E8" s="16" t="str">
        <x:v>B</x:v>
      </x:c>
      <x:c r="F8" s="16" t="str">
        <x:v>Nseq</x:v>
      </x:c>
      <x:c r="G8" s="16" t="str">
        <x:v>HK</x:v>
      </x:c>
      <x:c r="H8" s="16" t="str">
        <x:v>HV</x:v>
      </x:c>
      <x:c r="I8" s="16" t="str">
        <x:v>HV:HK</x:v>
      </x:c>
      <x:c r="J8" s="16" t="str">
        <x:v>T_win</x:v>
      </x:c>
      <x:c r="K8" s="16" t="str">
        <x:v>NT(最长段)</x:v>
      </x:c>
      <x:c r="L8" s="16" t="str">
        <x:v>尾块行数</x:v>
      </x:c>
      <x:c r="M8" s="16" t="str">
        <x:v>chunk_size</x:v>
      </x:c>
      <x:c r="N8" s="16" t="str">
        <x:v>cu_seqlens</x:v>
      </x:c>
      <x:c r="O8" s="16" t="str">
        <x:v>varlen 打包</x:v>
      </x:c>
      <x:c r="P8" s="16" t="str">
        <x:v>g/gk dtype</x:v>
      </x:c>
      <x:c r="Q8" s="16" t="str">
        <x:v>Nwork</x:v>
      </x:c>
      <x:c r="R8" s="16" t="str">
        <x:v>性能风险</x:v>
      </x:c>
      <x:c r="S8" s="17" t="str">
        <x:v>覆盖点</x:v>
      </x:c>
    </x:row>
    <x:row r="9">
      <x:c r="A9" s="27" t="str">
        <x:v>PPFM-01</x:v>
      </x:c>
      <x:c r="B9" s="28" t="str">
        <x:v>精度-窗口规模</x:v>
      </x:c>
      <x:c r="C9" s="28" t="str">
        <x:v>T=1</x:v>
      </x:c>
      <x:c r="D9" s="27" t="str">
        <x:v>GDN</x:v>
      </x:c>
      <x:c r="E9" s="29" t="n">
        <x:v>1</x:v>
      </x:c>
      <x:c r="F9" s="29" t="n">
        <x:v>1</x:v>
      </x:c>
      <x:c r="G9" s="29" t="n">
        <x:v>32</x:v>
      </x:c>
      <x:c r="H9" s="29" t="n">
        <x:v>32</x:v>
      </x:c>
      <x:c r="I9" s="27" t="str">
        <x:v>1:1</x:v>
      </x:c>
      <x:c r="J9" s="29" t="n">
        <x:v>1</x:v>
      </x:c>
      <x:c r="K9" s="29" t="n">
        <x:v>1</x:v>
      </x:c>
      <x:c r="L9" s="29" t="n">
        <x:v>1</x:v>
      </x:c>
      <x:c r="M9" s="29" t="n">
        <x:v>64</x:v>
      </x:c>
      <x:c r="N9" s="27" t="str">
        <x:v>[0,1]</x:v>
      </x:c>
      <x:c r="O9" s="27" t="str">
        <x:v>是</x:v>
      </x:c>
      <x:c r="P9" s="27" t="str">
        <x:v>FP32</x:v>
      </x:c>
      <x:c r="Q9" s="29" t="n">
        <x:f>F9*H9</x:f>
        <x:v>32</x:v>
      </x:c>
      <x:c r="R9" s="27" t="str">
        <x:v>高</x:v>
      </x:c>
      <x:c r="S9" s="33" t="str">
        <x:v>最小窗口：NT=1、尾块 1；固定开销主导；单段窗口 Nseq=1</x:v>
      </x:c>
    </x:row>
    <x:row r="10">
      <x:c r="A10" s="27" t="str">
        <x:v>PPFM-02</x:v>
      </x:c>
      <x:c r="B10" s="28" t="str">
        <x:v>精度-窗口规模</x:v>
      </x:c>
      <x:c r="C10" s="28" t="str">
        <x:v>T=1023</x:v>
      </x:c>
      <x:c r="D10" s="27" t="str">
        <x:v>GDN</x:v>
      </x:c>
      <x:c r="E10" s="29" t="n">
        <x:v>1</x:v>
      </x:c>
      <x:c r="F10" s="29" t="n">
        <x:v>1</x:v>
      </x:c>
      <x:c r="G10" s="29" t="n">
        <x:v>32</x:v>
      </x:c>
      <x:c r="H10" s="29" t="n">
        <x:v>32</x:v>
      </x:c>
      <x:c r="I10" s="27" t="str">
        <x:v>1:1</x:v>
      </x:c>
      <x:c r="J10" s="29" t="n">
        <x:v>1023</x:v>
      </x:c>
      <x:c r="K10" s="29" t="n">
        <x:v>16</x:v>
      </x:c>
      <x:c r="L10" s="29" t="n">
        <x:v>63</x:v>
      </x:c>
      <x:c r="M10" s="29" t="n">
        <x:v>64</x:v>
      </x:c>
      <x:c r="N10" s="27" t="str">
        <x:v>[0,1023]</x:v>
      </x:c>
      <x:c r="O10" s="27" t="str">
        <x:v>是</x:v>
      </x:c>
      <x:c r="P10" s="27" t="str">
        <x:v>FP32</x:v>
      </x:c>
      <x:c r="Q10" s="29" t="n">
        <x:f>F10*H10</x:f>
        <x:v>32</x:v>
      </x:c>
      <x:c r="R10" s="27" t="str">
        <x:v>中</x:v>
      </x:c>
      <x:c r="S10" s="33" t="str">
        <x:v>短窗口 + 尾块：NT=16、尾块 63；单段窗口 Nseq=1</x:v>
      </x:c>
    </x:row>
    <x:row r="11">
      <x:c r="A11" s="27" t="str">
        <x:v>PPFM-03</x:v>
      </x:c>
      <x:c r="B11" s="28" t="str">
        <x:v>精度-窗口规模</x:v>
      </x:c>
      <x:c r="C11" s="28" t="str">
        <x:v>T=4096</x:v>
      </x:c>
      <x:c r="D11" s="27" t="str">
        <x:v>GDN</x:v>
      </x:c>
      <x:c r="E11" s="29" t="n">
        <x:v>1</x:v>
      </x:c>
      <x:c r="F11" s="29" t="n">
        <x:v>1</x:v>
      </x:c>
      <x:c r="G11" s="29" t="n">
        <x:v>32</x:v>
      </x:c>
      <x:c r="H11" s="29" t="n">
        <x:v>32</x:v>
      </x:c>
      <x:c r="I11" s="27" t="str">
        <x:v>1:1</x:v>
      </x:c>
      <x:c r="J11" s="29" t="n">
        <x:v>4096</x:v>
      </x:c>
      <x:c r="K11" s="29" t="n">
        <x:v>64</x:v>
      </x:c>
      <x:c r="L11" s="29" t="n">
        <x:v>64</x:v>
      </x:c>
      <x:c r="M11" s="29" t="n">
        <x:v>64</x:v>
      </x:c>
      <x:c r="N11" s="27" t="str">
        <x:v>[0,4096]</x:v>
      </x:c>
      <x:c r="O11" s="27" t="str">
        <x:v>是</x:v>
      </x:c>
      <x:c r="P11" s="27" t="str">
        <x:v>FP32</x:v>
      </x:c>
      <x:c r="Q11" s="29" t="n">
        <x:f>F11*H11</x:f>
        <x:v>32</x:v>
      </x:c>
      <x:c r="R11" s="27" t="str">
        <x:v>低</x:v>
      </x:c>
      <x:c r="S11" s="33" t="str">
        <x:v>整块窗口：NT=64、尾块 0；单段窗口 Nseq=1</x:v>
      </x:c>
    </x:row>
    <x:row r="12">
      <x:c r="A12" s="27" t="str">
        <x:v>PPFM-04</x:v>
      </x:c>
      <x:c r="B12" s="28" t="str">
        <x:v>精度-窗口规模</x:v>
      </x:c>
      <x:c r="C12" s="28" t="str">
        <x:v>T=8191</x:v>
      </x:c>
      <x:c r="D12" s="27" t="str">
        <x:v>GDN</x:v>
      </x:c>
      <x:c r="E12" s="29" t="n">
        <x:v>1</x:v>
      </x:c>
      <x:c r="F12" s="29" t="n">
        <x:v>1</x:v>
      </x:c>
      <x:c r="G12" s="29" t="n">
        <x:v>32</x:v>
      </x:c>
      <x:c r="H12" s="29" t="n">
        <x:v>32</x:v>
      </x:c>
      <x:c r="I12" s="27" t="str">
        <x:v>1:1</x:v>
      </x:c>
      <x:c r="J12" s="29" t="n">
        <x:v>8191</x:v>
      </x:c>
      <x:c r="K12" s="29" t="n">
        <x:v>128</x:v>
      </x:c>
      <x:c r="L12" s="29" t="n">
        <x:v>63</x:v>
      </x:c>
      <x:c r="M12" s="29" t="n">
        <x:v>64</x:v>
      </x:c>
      <x:c r="N12" s="27" t="str">
        <x:v>[0,8191]</x:v>
      </x:c>
      <x:c r="O12" s="27" t="str">
        <x:v>是</x:v>
      </x:c>
      <x:c r="P12" s="27" t="str">
        <x:v>FP32</x:v>
      </x:c>
      <x:c r="Q12" s="29" t="n">
        <x:f>F12*H12</x:f>
        <x:v>32</x:v>
      </x:c>
      <x:c r="R12" s="27" t="str">
        <x:v>低</x:v>
      </x:c>
      <x:c r="S12" s="33" t="str">
        <x:v>长窗口 + 尾块：NT=128、尾块 63；单段窗口 Nseq=1</x:v>
      </x:c>
    </x:row>
    <x:row r="13">
      <x:c r="A13" s="27" t="str">
        <x:v>PPFM-05</x:v>
      </x:c>
      <x:c r="B13" s="28" t="str">
        <x:v>精度-窗口规模</x:v>
      </x:c>
      <x:c r="C13" s="28" t="str">
        <x:v>T=32767</x:v>
      </x:c>
      <x:c r="D13" s="27" t="str">
        <x:v>GDN</x:v>
      </x:c>
      <x:c r="E13" s="29" t="n">
        <x:v>1</x:v>
      </x:c>
      <x:c r="F13" s="29" t="n">
        <x:v>1</x:v>
      </x:c>
      <x:c r="G13" s="29" t="n">
        <x:v>32</x:v>
      </x:c>
      <x:c r="H13" s="29" t="n">
        <x:v>32</x:v>
      </x:c>
      <x:c r="I13" s="27" t="str">
        <x:v>1:1</x:v>
      </x:c>
      <x:c r="J13" s="29" t="n">
        <x:v>32767</x:v>
      </x:c>
      <x:c r="K13" s="29" t="n">
        <x:v>512</x:v>
      </x:c>
      <x:c r="L13" s="29" t="n">
        <x:v>63</x:v>
      </x:c>
      <x:c r="M13" s="29" t="n">
        <x:v>64</x:v>
      </x:c>
      <x:c r="N13" s="27" t="str">
        <x:v>[0,32767]</x:v>
      </x:c>
      <x:c r="O13" s="27" t="str">
        <x:v>是</x:v>
      </x:c>
      <x:c r="P13" s="27" t="str">
        <x:v>FP32</x:v>
      </x:c>
      <x:c r="Q13" s="29" t="n">
        <x:f>F13*H13</x:f>
        <x:v>32</x:v>
      </x:c>
      <x:c r="R13" s="27" t="str">
        <x:v>低</x:v>
      </x:c>
      <x:c r="S13" s="33" t="str">
        <x:v>超长窗口：NT=512，固定开销摊薄最好；单段窗口 Nseq=1</x:v>
      </x:c>
    </x:row>
    <x:row r="14">
      <x:c r="A14" s="27" t="str">
        <x:v>PPFM-06</x:v>
      </x:c>
      <x:c r="B14" s="28" t="str">
        <x:v>精度-窗口规模</x:v>
      </x:c>
      <x:c r="C14" s="28" t="str">
        <x:v>T=1</x:v>
      </x:c>
      <x:c r="D14" s="27" t="str">
        <x:v>KDA</x:v>
      </x:c>
      <x:c r="E14" s="29" t="n">
        <x:v>1</x:v>
      </x:c>
      <x:c r="F14" s="29" t="n">
        <x:v>1</x:v>
      </x:c>
      <x:c r="G14" s="29" t="n">
        <x:v>32</x:v>
      </x:c>
      <x:c r="H14" s="29" t="n">
        <x:v>32</x:v>
      </x:c>
      <x:c r="I14" s="27" t="str">
        <x:v>1:1</x:v>
      </x:c>
      <x:c r="J14" s="29" t="n">
        <x:v>1</x:v>
      </x:c>
      <x:c r="K14" s="29" t="n">
        <x:v>1</x:v>
      </x:c>
      <x:c r="L14" s="29" t="n">
        <x:v>1</x:v>
      </x:c>
      <x:c r="M14" s="29" t="n">
        <x:v>64</x:v>
      </x:c>
      <x:c r="N14" s="27" t="str">
        <x:v>[0,1]</x:v>
      </x:c>
      <x:c r="O14" s="27" t="str">
        <x:v>是</x:v>
      </x:c>
      <x:c r="P14" s="27" t="str">
        <x:v>FP32</x:v>
      </x:c>
      <x:c r="Q14" s="29" t="n">
        <x:f>F14*H14</x:f>
        <x:v>32</x:v>
      </x:c>
      <x:c r="R14" s="27" t="str">
        <x:v>高</x:v>
      </x:c>
      <x:c r="S14" s="33" t="str">
        <x:v>最小窗口：NT=1、尾块 1；固定开销主导；单段窗口 Nseq=1</x:v>
      </x:c>
    </x:row>
    <x:row r="15">
      <x:c r="A15" s="27" t="str">
        <x:v>PPFM-07</x:v>
      </x:c>
      <x:c r="B15" s="28" t="str">
        <x:v>精度-窗口规模</x:v>
      </x:c>
      <x:c r="C15" s="28" t="str">
        <x:v>T=1023</x:v>
      </x:c>
      <x:c r="D15" s="27" t="str">
        <x:v>KDA</x:v>
      </x:c>
      <x:c r="E15" s="29" t="n">
        <x:v>1</x:v>
      </x:c>
      <x:c r="F15" s="29" t="n">
        <x:v>1</x:v>
      </x:c>
      <x:c r="G15" s="29" t="n">
        <x:v>32</x:v>
      </x:c>
      <x:c r="H15" s="29" t="n">
        <x:v>32</x:v>
      </x:c>
      <x:c r="I15" s="27" t="str">
        <x:v>1:1</x:v>
      </x:c>
      <x:c r="J15" s="29" t="n">
        <x:v>1023</x:v>
      </x:c>
      <x:c r="K15" s="29" t="n">
        <x:v>16</x:v>
      </x:c>
      <x:c r="L15" s="29" t="n">
        <x:v>63</x:v>
      </x:c>
      <x:c r="M15" s="29" t="n">
        <x:v>64</x:v>
      </x:c>
      <x:c r="N15" s="27" t="str">
        <x:v>[0,1023]</x:v>
      </x:c>
      <x:c r="O15" s="27" t="str">
        <x:v>是</x:v>
      </x:c>
      <x:c r="P15" s="27" t="str">
        <x:v>FP32</x:v>
      </x:c>
      <x:c r="Q15" s="29" t="n">
        <x:f>F15*H15</x:f>
        <x:v>32</x:v>
      </x:c>
      <x:c r="R15" s="27" t="str">
        <x:v>中</x:v>
      </x:c>
      <x:c r="S15" s="33" t="str">
        <x:v>短窗口 + 尾块：NT=16、尾块 63；单段窗口 Nseq=1</x:v>
      </x:c>
    </x:row>
    <x:row r="16">
      <x:c r="A16" s="27" t="str">
        <x:v>PPFM-08</x:v>
      </x:c>
      <x:c r="B16" s="28" t="str">
        <x:v>精度-窗口规模</x:v>
      </x:c>
      <x:c r="C16" s="28" t="str">
        <x:v>T=4096</x:v>
      </x:c>
      <x:c r="D16" s="27" t="str">
        <x:v>KDA</x:v>
      </x:c>
      <x:c r="E16" s="29" t="n">
        <x:v>1</x:v>
      </x:c>
      <x:c r="F16" s="29" t="n">
        <x:v>1</x:v>
      </x:c>
      <x:c r="G16" s="29" t="n">
        <x:v>32</x:v>
      </x:c>
      <x:c r="H16" s="29" t="n">
        <x:v>32</x:v>
      </x:c>
      <x:c r="I16" s="27" t="str">
        <x:v>1:1</x:v>
      </x:c>
      <x:c r="J16" s="29" t="n">
        <x:v>4096</x:v>
      </x:c>
      <x:c r="K16" s="29" t="n">
        <x:v>64</x:v>
      </x:c>
      <x:c r="L16" s="29" t="n">
        <x:v>64</x:v>
      </x:c>
      <x:c r="M16" s="29" t="n">
        <x:v>64</x:v>
      </x:c>
      <x:c r="N16" s="27" t="str">
        <x:v>[0,4096]</x:v>
      </x:c>
      <x:c r="O16" s="27" t="str">
        <x:v>是</x:v>
      </x:c>
      <x:c r="P16" s="27" t="str">
        <x:v>FP32</x:v>
      </x:c>
      <x:c r="Q16" s="29" t="n">
        <x:f>F16*H16</x:f>
        <x:v>32</x:v>
      </x:c>
      <x:c r="R16" s="27" t="str">
        <x:v>低</x:v>
      </x:c>
      <x:c r="S16" s="33" t="str">
        <x:v>整块窗口：NT=64、尾块 0；单段窗口 Nseq=1</x:v>
      </x:c>
    </x:row>
    <x:row r="17">
      <x:c r="A17" s="27" t="str">
        <x:v>PPFM-09</x:v>
      </x:c>
      <x:c r="B17" s="28" t="str">
        <x:v>精度-窗口规模</x:v>
      </x:c>
      <x:c r="C17" s="28" t="str">
        <x:v>T=8191</x:v>
      </x:c>
      <x:c r="D17" s="27" t="str">
        <x:v>KDA</x:v>
      </x:c>
      <x:c r="E17" s="29" t="n">
        <x:v>1</x:v>
      </x:c>
      <x:c r="F17" s="29" t="n">
        <x:v>1</x:v>
      </x:c>
      <x:c r="G17" s="29" t="n">
        <x:v>32</x:v>
      </x:c>
      <x:c r="H17" s="29" t="n">
        <x:v>32</x:v>
      </x:c>
      <x:c r="I17" s="27" t="str">
        <x:v>1:1</x:v>
      </x:c>
      <x:c r="J17" s="29" t="n">
        <x:v>8191</x:v>
      </x:c>
      <x:c r="K17" s="29" t="n">
        <x:v>128</x:v>
      </x:c>
      <x:c r="L17" s="29" t="n">
        <x:v>63</x:v>
      </x:c>
      <x:c r="M17" s="29" t="n">
        <x:v>64</x:v>
      </x:c>
      <x:c r="N17" s="27" t="str">
        <x:v>[0,8191]</x:v>
      </x:c>
      <x:c r="O17" s="27" t="str">
        <x:v>是</x:v>
      </x:c>
      <x:c r="P17" s="27" t="str">
        <x:v>FP32</x:v>
      </x:c>
      <x:c r="Q17" s="29" t="n">
        <x:f>F17*H17</x:f>
        <x:v>32</x:v>
      </x:c>
      <x:c r="R17" s="27" t="str">
        <x:v>低</x:v>
      </x:c>
      <x:c r="S17" s="33" t="str">
        <x:v>长窗口 + 尾块：NT=128、尾块 63；单段窗口 Nseq=1</x:v>
      </x:c>
    </x:row>
    <x:row r="18">
      <x:c r="A18" s="27" t="str">
        <x:v>PPFM-10</x:v>
      </x:c>
      <x:c r="B18" s="28" t="str">
        <x:v>精度-窗口规模</x:v>
      </x:c>
      <x:c r="C18" s="28" t="str">
        <x:v>T=32767</x:v>
      </x:c>
      <x:c r="D18" s="27" t="str">
        <x:v>KDA</x:v>
      </x:c>
      <x:c r="E18" s="29" t="n">
        <x:v>1</x:v>
      </x:c>
      <x:c r="F18" s="29" t="n">
        <x:v>1</x:v>
      </x:c>
      <x:c r="G18" s="29" t="n">
        <x:v>32</x:v>
      </x:c>
      <x:c r="H18" s="29" t="n">
        <x:v>32</x:v>
      </x:c>
      <x:c r="I18" s="27" t="str">
        <x:v>1:1</x:v>
      </x:c>
      <x:c r="J18" s="29" t="n">
        <x:v>32767</x:v>
      </x:c>
      <x:c r="K18" s="29" t="n">
        <x:v>512</x:v>
      </x:c>
      <x:c r="L18" s="29" t="n">
        <x:v>63</x:v>
      </x:c>
      <x:c r="M18" s="29" t="n">
        <x:v>64</x:v>
      </x:c>
      <x:c r="N18" s="27" t="str">
        <x:v>[0,32767]</x:v>
      </x:c>
      <x:c r="O18" s="27" t="str">
        <x:v>是</x:v>
      </x:c>
      <x:c r="P18" s="27" t="str">
        <x:v>FP32</x:v>
      </x:c>
      <x:c r="Q18" s="29" t="n">
        <x:f>F18*H18</x:f>
        <x:v>32</x:v>
      </x:c>
      <x:c r="R18" s="27" t="str">
        <x:v>低</x:v>
      </x:c>
      <x:c r="S18" s="33" t="str">
        <x:v>超长窗口：NT=512，固定开销摊薄最好；单段窗口 Nseq=1</x:v>
      </x:c>
    </x:row>
    <x:row r="19">
      <x:c r="A19" s="23" t="str">
        <x:v>PPFM-11</x:v>
      </x:c>
      <x:c r="B19" s="19" t="str">
        <x:v>精度-变长</x:v>
      </x:c>
      <x:c r="C19" s="19" t="str">
        <x:v>varlen 2 段</x:v>
      </x:c>
      <x:c r="D19" s="23" t="str">
        <x:v>GDN</x:v>
      </x:c>
      <x:c r="E19" s="25" t="n">
        <x:v>1</x:v>
      </x:c>
      <x:c r="F19" s="25" t="n">
        <x:v>2</x:v>
      </x:c>
      <x:c r="G19" s="25" t="n">
        <x:v>8</x:v>
      </x:c>
      <x:c r="H19" s="25" t="n">
        <x:v>8</x:v>
      </x:c>
      <x:c r="I19" s="23" t="str">
        <x:v>1:1</x:v>
      </x:c>
      <x:c r="J19" s="25" t="n">
        <x:v>256</x:v>
      </x:c>
      <x:c r="K19" s="25" t="n">
        <x:v>4</x:v>
      </x:c>
      <x:c r="L19" s="25" t="n">
        <x:v>64</x:v>
      </x:c>
      <x:c r="M19" s="25" t="n">
        <x:v>64</x:v>
      </x:c>
      <x:c r="N19" s="23" t="str">
        <x:v>[0,256,512]</x:v>
      </x:c>
      <x:c r="O19" s="23" t="str">
        <x:v>是</x:v>
      </x:c>
      <x:c r="P19" s="23" t="str">
        <x:v>FP32</x:v>
      </x:c>
      <x:c r="Q19" s="25" t="n">
        <x:f>F19*H19</x:f>
        <x:v>16</x:v>
      </x:c>
      <x:c r="R19" s="23" t="str">
        <x:v>低</x:v>
      </x:c>
      <x:c r="S19" s="34" t="str">
        <x:v>varlen 2 段等长：cu_seqlens=[0,256,512]，Nseq=2</x:v>
      </x:c>
    </x:row>
    <x:row r="20">
      <x:c r="A20" s="23" t="str">
        <x:v>PPFM-12</x:v>
      </x:c>
      <x:c r="B20" s="19" t="str">
        <x:v>精度-变长</x:v>
      </x:c>
      <x:c r="C20" s="19" t="str">
        <x:v>varlen 3 段</x:v>
      </x:c>
      <x:c r="D20" s="23" t="str">
        <x:v>GDN</x:v>
      </x:c>
      <x:c r="E20" s="25" t="n">
        <x:v>1</x:v>
      </x:c>
      <x:c r="F20" s="25" t="n">
        <x:v>3</x:v>
      </x:c>
      <x:c r="G20" s="25" t="n">
        <x:v>8</x:v>
      </x:c>
      <x:c r="H20" s="25" t="n">
        <x:v>8</x:v>
      </x:c>
      <x:c r="I20" s="23" t="str">
        <x:v>1:1</x:v>
      </x:c>
      <x:c r="J20" s="25" t="n">
        <x:v>512</x:v>
      </x:c>
      <x:c r="K20" s="25" t="n">
        <x:v>8</x:v>
      </x:c>
      <x:c r="L20" s="25" t="n">
        <x:v>64</x:v>
      </x:c>
      <x:c r="M20" s="25" t="n">
        <x:v>64</x:v>
      </x:c>
      <x:c r="N20" s="23" t="str">
        <x:v>[0,512,1024,1536]</x:v>
      </x:c>
      <x:c r="O20" s="23" t="str">
        <x:v>是</x:v>
      </x:c>
      <x:c r="P20" s="23" t="str">
        <x:v>FP32</x:v>
      </x:c>
      <x:c r="Q20" s="25" t="n">
        <x:f>F20*H20</x:f>
        <x:v>24</x:v>
      </x:c>
      <x:c r="R20" s="23" t="str">
        <x:v>低</x:v>
      </x:c>
      <x:c r="S20" s="34" t="str">
        <x:v>varlen 3 段等长：Nseq=3，校验 sequence 进 grid</x:v>
      </x:c>
    </x:row>
    <x:row r="21">
      <x:c r="A21" s="23" t="str">
        <x:v>PPFM-13</x:v>
      </x:c>
      <x:c r="B21" s="19" t="str">
        <x:v>精度-变长</x:v>
      </x:c>
      <x:c r="C21" s="19" t="str">
        <x:v>varlen 3 段</x:v>
      </x:c>
      <x:c r="D21" s="23" t="str">
        <x:v>GDN</x:v>
      </x:c>
      <x:c r="E21" s="25" t="n">
        <x:v>1</x:v>
      </x:c>
      <x:c r="F21" s="25" t="n">
        <x:v>3</x:v>
      </x:c>
      <x:c r="G21" s="25" t="n">
        <x:v>8</x:v>
      </x:c>
      <x:c r="H21" s="25" t="n">
        <x:v>8</x:v>
      </x:c>
      <x:c r="I21" s="23" t="str">
        <x:v>1:1</x:v>
      </x:c>
      <x:c r="J21" s="25" t="n">
        <x:v>704</x:v>
      </x:c>
      <x:c r="K21" s="25" t="n">
        <x:v>11</x:v>
      </x:c>
      <x:c r="L21" s="25" t="n">
        <x:v>64</x:v>
      </x:c>
      <x:c r="M21" s="25" t="n">
        <x:v>64</x:v>
      </x:c>
      <x:c r="N21" s="23" t="str">
        <x:v>[0,64,320,1024]</x:v>
      </x:c>
      <x:c r="O21" s="23" t="str">
        <x:v>是</x:v>
      </x:c>
      <x:c r="P21" s="23" t="str">
        <x:v>FP32</x:v>
      </x:c>
      <x:c r="Q21" s="25" t="n">
        <x:f>F21*H21</x:f>
        <x:v>24</x:v>
      </x:c>
      <x:c r="R21" s="23" t="str">
        <x:v>中</x:v>
      </x:c>
      <x:c r="S21" s="34" t="str">
        <x:v>varlen 3 段不等长且含 NT=1 的短段：Nseq=3</x:v>
      </x:c>
    </x:row>
    <x:row r="22">
      <x:c r="A22" s="23" t="str">
        <x:v>PPFM-14</x:v>
      </x:c>
      <x:c r="B22" s="19" t="str">
        <x:v>精度-变长</x:v>
      </x:c>
      <x:c r="C22" s="19" t="str">
        <x:v>varlen 1 段</x:v>
      </x:c>
      <x:c r="D22" s="23" t="str">
        <x:v>GDN</x:v>
      </x:c>
      <x:c r="E22" s="25" t="n">
        <x:v>1</x:v>
      </x:c>
      <x:c r="F22" s="25" t="n">
        <x:v>1</x:v>
      </x:c>
      <x:c r="G22" s="25" t="n">
        <x:v>8</x:v>
      </x:c>
      <x:c r="H22" s="25" t="n">
        <x:v>8</x:v>
      </x:c>
      <x:c r="I22" s="23" t="str">
        <x:v>1:1</x:v>
      </x:c>
      <x:c r="J22" s="25" t="n">
        <x:v>16387</x:v>
      </x:c>
      <x:c r="K22" s="25" t="n">
        <x:v>257</x:v>
      </x:c>
      <x:c r="L22" s="25" t="n">
        <x:v>3</x:v>
      </x:c>
      <x:c r="M22" s="25" t="n">
        <x:v>64</x:v>
      </x:c>
      <x:c r="N22" s="23" t="str">
        <x:v>[0,16387]</x:v>
      </x:c>
      <x:c r="O22" s="23" t="str">
        <x:v>是</x:v>
      </x:c>
      <x:c r="P22" s="23" t="str">
        <x:v>FP32</x:v>
      </x:c>
      <x:c r="Q22" s="25" t="n">
        <x:f>F22*H22</x:f>
        <x:v>8</x:v>
      </x:c>
      <x:c r="R22" s="23" t="str">
        <x:v>低</x:v>
      </x:c>
      <x:c r="S22" s="34" t="str">
        <x:v>varlen 单段对照：Nseq=1，T 非 64 倍数</x:v>
      </x:c>
    </x:row>
    <x:row r="23">
      <x:c r="A23" s="23" t="str">
        <x:v>PPFM-15</x:v>
      </x:c>
      <x:c r="B23" s="19" t="str">
        <x:v>精度-变长</x:v>
      </x:c>
      <x:c r="C23" s="19" t="str">
        <x:v>varlen 2 段</x:v>
      </x:c>
      <x:c r="D23" s="23" t="str">
        <x:v>KDA</x:v>
      </x:c>
      <x:c r="E23" s="25" t="n">
        <x:v>1</x:v>
      </x:c>
      <x:c r="F23" s="25" t="n">
        <x:v>2</x:v>
      </x:c>
      <x:c r="G23" s="25" t="n">
        <x:v>8</x:v>
      </x:c>
      <x:c r="H23" s="25" t="n">
        <x:v>8</x:v>
      </x:c>
      <x:c r="I23" s="23" t="str">
        <x:v>1:1</x:v>
      </x:c>
      <x:c r="J23" s="25" t="n">
        <x:v>256</x:v>
      </x:c>
      <x:c r="K23" s="25" t="n">
        <x:v>4</x:v>
      </x:c>
      <x:c r="L23" s="25" t="n">
        <x:v>64</x:v>
      </x:c>
      <x:c r="M23" s="25" t="n">
        <x:v>64</x:v>
      </x:c>
      <x:c r="N23" s="23" t="str">
        <x:v>[0,256,512]</x:v>
      </x:c>
      <x:c r="O23" s="23" t="str">
        <x:v>是</x:v>
      </x:c>
      <x:c r="P23" s="23" t="str">
        <x:v>FP32</x:v>
      </x:c>
      <x:c r="Q23" s="25" t="n">
        <x:f>F23*H23</x:f>
        <x:v>16</x:v>
      </x:c>
      <x:c r="R23" s="23" t="str">
        <x:v>低</x:v>
      </x:c>
      <x:c r="S23" s="34" t="str">
        <x:v>varlen 2 段等长：cu_seqlens=[0,256,512]，Nseq=2</x:v>
      </x:c>
    </x:row>
    <x:row r="24">
      <x:c r="A24" s="23" t="str">
        <x:v>PPFM-16</x:v>
      </x:c>
      <x:c r="B24" s="19" t="str">
        <x:v>精度-变长</x:v>
      </x:c>
      <x:c r="C24" s="19" t="str">
        <x:v>varlen 3 段</x:v>
      </x:c>
      <x:c r="D24" s="23" t="str">
        <x:v>KDA</x:v>
      </x:c>
      <x:c r="E24" s="25" t="n">
        <x:v>1</x:v>
      </x:c>
      <x:c r="F24" s="25" t="n">
        <x:v>3</x:v>
      </x:c>
      <x:c r="G24" s="25" t="n">
        <x:v>8</x:v>
      </x:c>
      <x:c r="H24" s="25" t="n">
        <x:v>8</x:v>
      </x:c>
      <x:c r="I24" s="23" t="str">
        <x:v>1:1</x:v>
      </x:c>
      <x:c r="J24" s="25" t="n">
        <x:v>512</x:v>
      </x:c>
      <x:c r="K24" s="25" t="n">
        <x:v>8</x:v>
      </x:c>
      <x:c r="L24" s="25" t="n">
        <x:v>64</x:v>
      </x:c>
      <x:c r="M24" s="25" t="n">
        <x:v>64</x:v>
      </x:c>
      <x:c r="N24" s="23" t="str">
        <x:v>[0,512,1024,1536]</x:v>
      </x:c>
      <x:c r="O24" s="23" t="str">
        <x:v>是</x:v>
      </x:c>
      <x:c r="P24" s="23" t="str">
        <x:v>FP32</x:v>
      </x:c>
      <x:c r="Q24" s="25" t="n">
        <x:f>F24*H24</x:f>
        <x:v>24</x:v>
      </x:c>
      <x:c r="R24" s="23" t="str">
        <x:v>低</x:v>
      </x:c>
      <x:c r="S24" s="34" t="str">
        <x:v>varlen 3 段等长：Nseq=3，校验 sequence 进 grid</x:v>
      </x:c>
    </x:row>
    <x:row r="25">
      <x:c r="A25" s="23" t="str">
        <x:v>PPFM-17</x:v>
      </x:c>
      <x:c r="B25" s="19" t="str">
        <x:v>精度-变长</x:v>
      </x:c>
      <x:c r="C25" s="19" t="str">
        <x:v>varlen 3 段</x:v>
      </x:c>
      <x:c r="D25" s="23" t="str">
        <x:v>KDA</x:v>
      </x:c>
      <x:c r="E25" s="25" t="n">
        <x:v>1</x:v>
      </x:c>
      <x:c r="F25" s="25" t="n">
        <x:v>3</x:v>
      </x:c>
      <x:c r="G25" s="25" t="n">
        <x:v>8</x:v>
      </x:c>
      <x:c r="H25" s="25" t="n">
        <x:v>8</x:v>
      </x:c>
      <x:c r="I25" s="23" t="str">
        <x:v>1:1</x:v>
      </x:c>
      <x:c r="J25" s="25" t="n">
        <x:v>704</x:v>
      </x:c>
      <x:c r="K25" s="25" t="n">
        <x:v>11</x:v>
      </x:c>
      <x:c r="L25" s="25" t="n">
        <x:v>64</x:v>
      </x:c>
      <x:c r="M25" s="25" t="n">
        <x:v>64</x:v>
      </x:c>
      <x:c r="N25" s="23" t="str">
        <x:v>[0,64,320,1024]</x:v>
      </x:c>
      <x:c r="O25" s="23" t="str">
        <x:v>是</x:v>
      </x:c>
      <x:c r="P25" s="23" t="str">
        <x:v>FP32</x:v>
      </x:c>
      <x:c r="Q25" s="25" t="n">
        <x:f>F25*H25</x:f>
        <x:v>24</x:v>
      </x:c>
      <x:c r="R25" s="23" t="str">
        <x:v>中</x:v>
      </x:c>
      <x:c r="S25" s="34" t="str">
        <x:v>varlen 3 段不等长且含 NT=1 的短段：Nseq=3</x:v>
      </x:c>
    </x:row>
    <x:row r="26">
      <x:c r="A26" s="23" t="str">
        <x:v>PPFM-18</x:v>
      </x:c>
      <x:c r="B26" s="19" t="str">
        <x:v>精度-变长</x:v>
      </x:c>
      <x:c r="C26" s="19" t="str">
        <x:v>varlen 1 段</x:v>
      </x:c>
      <x:c r="D26" s="23" t="str">
        <x:v>KDA</x:v>
      </x:c>
      <x:c r="E26" s="25" t="n">
        <x:v>1</x:v>
      </x:c>
      <x:c r="F26" s="25" t="n">
        <x:v>1</x:v>
      </x:c>
      <x:c r="G26" s="25" t="n">
        <x:v>8</x:v>
      </x:c>
      <x:c r="H26" s="25" t="n">
        <x:v>8</x:v>
      </x:c>
      <x:c r="I26" s="23" t="str">
        <x:v>1:1</x:v>
      </x:c>
      <x:c r="J26" s="25" t="n">
        <x:v>16387</x:v>
      </x:c>
      <x:c r="K26" s="25" t="n">
        <x:v>257</x:v>
      </x:c>
      <x:c r="L26" s="25" t="n">
        <x:v>3</x:v>
      </x:c>
      <x:c r="M26" s="25" t="n">
        <x:v>64</x:v>
      </x:c>
      <x:c r="N26" s="23" t="str">
        <x:v>[0,16387]</x:v>
      </x:c>
      <x:c r="O26" s="23" t="str">
        <x:v>是</x:v>
      </x:c>
      <x:c r="P26" s="23" t="str">
        <x:v>FP32</x:v>
      </x:c>
      <x:c r="Q26" s="25" t="n">
        <x:f>F26*H26</x:f>
        <x:v>8</x:v>
      </x:c>
      <x:c r="R26" s="23" t="str">
        <x:v>低</x:v>
      </x:c>
      <x:c r="S26" s="34" t="str">
        <x:v>varlen 单段对照：Nseq=1，T 非 64 倍数</x:v>
      </x:c>
    </x:row>
    <x:row r="27">
      <x:c r="A27" s="27" t="str">
        <x:v>PPFM-19</x:v>
      </x:c>
      <x:c r="B27" s="28" t="str">
        <x:v>精度-GVA</x:v>
      </x:c>
      <x:c r="C27" s="28" t="str">
        <x:v>GVA 2:1</x:v>
      </x:c>
      <x:c r="D27" s="27" t="str">
        <x:v>GDN</x:v>
      </x:c>
      <x:c r="E27" s="29" t="n">
        <x:v>1</x:v>
      </x:c>
      <x:c r="F27" s="29" t="n">
        <x:v>1</x:v>
      </x:c>
      <x:c r="G27" s="29" t="n">
        <x:v>16</x:v>
      </x:c>
      <x:c r="H27" s="29" t="n">
        <x:v>32</x:v>
      </x:c>
      <x:c r="I27" s="27" t="str">
        <x:v>1:2</x:v>
      </x:c>
      <x:c r="J27" s="29" t="n">
        <x:v>2048</x:v>
      </x:c>
      <x:c r="K27" s="29" t="n">
        <x:v>32</x:v>
      </x:c>
      <x:c r="L27" s="29" t="n">
        <x:v>64</x:v>
      </x:c>
      <x:c r="M27" s="29" t="n">
        <x:v>64</x:v>
      </x:c>
      <x:c r="N27" s="27" t="str">
        <x:v>[0,2048]</x:v>
      </x:c>
      <x:c r="O27" s="27" t="str">
        <x:v>是</x:v>
      </x:c>
      <x:c r="P27" s="27" t="str">
        <x:v>FP32</x:v>
      </x:c>
      <x:c r="Q27" s="29" t="n">
        <x:f>F27*H27</x:f>
        <x:v>32</x:v>
      </x:c>
      <x:c r="R27" s="27" t="str">
        <x:v>低</x:v>
      </x:c>
      <x:c r="S27" s="33" t="str">
        <x:v>GVA 1:2：HK=16、HV=32</x:v>
      </x:c>
    </x:row>
    <x:row r="28">
      <x:c r="A28" s="27" t="str">
        <x:v>PPFM-20</x:v>
      </x:c>
      <x:c r="B28" s="28" t="str">
        <x:v>精度-GVA</x:v>
      </x:c>
      <x:c r="C28" s="28" t="str">
        <x:v>GVA 3:1</x:v>
      </x:c>
      <x:c r="D28" s="27" t="str">
        <x:v>GDN</x:v>
      </x:c>
      <x:c r="E28" s="29" t="n">
        <x:v>1</x:v>
      </x:c>
      <x:c r="F28" s="29" t="n">
        <x:v>1</x:v>
      </x:c>
      <x:c r="G28" s="29" t="n">
        <x:v>21</x:v>
      </x:c>
      <x:c r="H28" s="29" t="n">
        <x:v>63</x:v>
      </x:c>
      <x:c r="I28" s="27" t="str">
        <x:v>1:3</x:v>
      </x:c>
      <x:c r="J28" s="29" t="n">
        <x:v>2048</x:v>
      </x:c>
      <x:c r="K28" s="29" t="n">
        <x:v>32</x:v>
      </x:c>
      <x:c r="L28" s="29" t="n">
        <x:v>64</x:v>
      </x:c>
      <x:c r="M28" s="29" t="n">
        <x:v>64</x:v>
      </x:c>
      <x:c r="N28" s="27" t="str">
        <x:v>[0,2048]</x:v>
      </x:c>
      <x:c r="O28" s="27" t="str">
        <x:v>是</x:v>
      </x:c>
      <x:c r="P28" s="27" t="str">
        <x:v>FP32</x:v>
      </x:c>
      <x:c r="Q28" s="29" t="n">
        <x:f>F28*H28</x:f>
        <x:v>63</x:v>
      </x:c>
      <x:c r="R28" s="27" t="str">
        <x:v>低</x:v>
      </x:c>
      <x:c r="S28" s="33" t="str">
        <x:v>GVA 1:3：HV 非 2 的幂</x:v>
      </x:c>
    </x:row>
    <x:row r="29">
      <x:c r="A29" s="27" t="str">
        <x:v>PPFM-21</x:v>
      </x:c>
      <x:c r="B29" s="28" t="str">
        <x:v>精度-GVA</x:v>
      </x:c>
      <x:c r="C29" s="28" t="str">
        <x:v>GVA 4:1</x:v>
      </x:c>
      <x:c r="D29" s="27" t="str">
        <x:v>GDN</x:v>
      </x:c>
      <x:c r="E29" s="29" t="n">
        <x:v>1</x:v>
      </x:c>
      <x:c r="F29" s="29" t="n">
        <x:v>1</x:v>
      </x:c>
      <x:c r="G29" s="29" t="n">
        <x:v>8</x:v>
      </x:c>
      <x:c r="H29" s="29" t="n">
        <x:v>32</x:v>
      </x:c>
      <x:c r="I29" s="27" t="str">
        <x:v>1:4</x:v>
      </x:c>
      <x:c r="J29" s="29" t="n">
        <x:v>2048</x:v>
      </x:c>
      <x:c r="K29" s="29" t="n">
        <x:v>32</x:v>
      </x:c>
      <x:c r="L29" s="29" t="n">
        <x:v>64</x:v>
      </x:c>
      <x:c r="M29" s="29" t="n">
        <x:v>64</x:v>
      </x:c>
      <x:c r="N29" s="27" t="str">
        <x:v>[0,2048]</x:v>
      </x:c>
      <x:c r="O29" s="27" t="str">
        <x:v>是</x:v>
      </x:c>
      <x:c r="P29" s="27" t="str">
        <x:v>FP32</x:v>
      </x:c>
      <x:c r="Q29" s="29" t="n">
        <x:f>F29*H29</x:f>
        <x:v>32</x:v>
      </x:c>
      <x:c r="R29" s="27" t="str">
        <x:v>低</x:v>
      </x:c>
      <x:c r="S29" s="33" t="str">
        <x:v>GVA 1:4：HK=8、HV=32</x:v>
      </x:c>
    </x:row>
    <x:row r="30">
      <x:c r="A30" s="27" t="str">
        <x:v>PPFM-22</x:v>
      </x:c>
      <x:c r="B30" s="28" t="str">
        <x:v>精度-GVA</x:v>
      </x:c>
      <x:c r="C30" s="28" t="str">
        <x:v>GVA 8:1</x:v>
      </x:c>
      <x:c r="D30" s="27" t="str">
        <x:v>GDN</x:v>
      </x:c>
      <x:c r="E30" s="29" t="n">
        <x:v>1</x:v>
      </x:c>
      <x:c r="F30" s="29" t="n">
        <x:v>1</x:v>
      </x:c>
      <x:c r="G30" s="29" t="n">
        <x:v>4</x:v>
      </x:c>
      <x:c r="H30" s="29" t="n">
        <x:v>32</x:v>
      </x:c>
      <x:c r="I30" s="27" t="str">
        <x:v>1:8</x:v>
      </x:c>
      <x:c r="J30" s="29" t="n">
        <x:v>2048</x:v>
      </x:c>
      <x:c r="K30" s="29" t="n">
        <x:v>32</x:v>
      </x:c>
      <x:c r="L30" s="29" t="n">
        <x:v>64</x:v>
      </x:c>
      <x:c r="M30" s="29" t="n">
        <x:v>64</x:v>
      </x:c>
      <x:c r="N30" s="27" t="str">
        <x:v>[0,2048]</x:v>
      </x:c>
      <x:c r="O30" s="27" t="str">
        <x:v>是</x:v>
      </x:c>
      <x:c r="P30" s="27" t="str">
        <x:v>FP32</x:v>
      </x:c>
      <x:c r="Q30" s="29" t="n">
        <x:f>F30*H30</x:f>
        <x:v>32</x:v>
      </x:c>
      <x:c r="R30" s="27" t="str">
        <x:v>低</x:v>
      </x:c>
      <x:c r="S30" s="33" t="str">
        <x:v>GVA 1:8：HK=4、HV=32</x:v>
      </x:c>
    </x:row>
    <x:row r="31">
      <x:c r="A31" s="27" t="str">
        <x:v>PPFM-23</x:v>
      </x:c>
      <x:c r="B31" s="28" t="str">
        <x:v>精度-GVA</x:v>
      </x:c>
      <x:c r="C31" s="28" t="str">
        <x:v>GVA 32:1</x:v>
      </x:c>
      <x:c r="D31" s="27" t="str">
        <x:v>GDN</x:v>
      </x:c>
      <x:c r="E31" s="29" t="n">
        <x:v>1</x:v>
      </x:c>
      <x:c r="F31" s="29" t="n">
        <x:v>1</x:v>
      </x:c>
      <x:c r="G31" s="29" t="n">
        <x:v>2</x:v>
      </x:c>
      <x:c r="H31" s="29" t="n">
        <x:v>64</x:v>
      </x:c>
      <x:c r="I31" s="27" t="str">
        <x:v>1:32</x:v>
      </x:c>
      <x:c r="J31" s="29" t="n">
        <x:v>2048</x:v>
      </x:c>
      <x:c r="K31" s="29" t="n">
        <x:v>32</x:v>
      </x:c>
      <x:c r="L31" s="29" t="n">
        <x:v>64</x:v>
      </x:c>
      <x:c r="M31" s="29" t="n">
        <x:v>64</x:v>
      </x:c>
      <x:c r="N31" s="27" t="str">
        <x:v>[0,2048]</x:v>
      </x:c>
      <x:c r="O31" s="27" t="str">
        <x:v>是</x:v>
      </x:c>
      <x:c r="P31" s="27" t="str">
        <x:v>FP32</x:v>
      </x:c>
      <x:c r="Q31" s="29" t="n">
        <x:f>F31*H31</x:f>
        <x:v>64</x:v>
      </x:c>
      <x:c r="R31" s="27" t="str">
        <x:v>低</x:v>
      </x:c>
      <x:c r="S31" s="33" t="str">
        <x:v>GVA 1:32：HK=2、HV=64，复用比例最大</x:v>
      </x:c>
    </x:row>
    <x:row r="32">
      <x:c r="A32" s="27" t="str">
        <x:v>PPFM-24</x:v>
      </x:c>
      <x:c r="B32" s="28" t="str">
        <x:v>精度-GVA</x:v>
      </x:c>
      <x:c r="C32" s="28" t="str">
        <x:v>varlen + GVA 1:2</x:v>
      </x:c>
      <x:c r="D32" s="27" t="str">
        <x:v>GDN</x:v>
      </x:c>
      <x:c r="E32" s="29" t="n">
        <x:v>1</x:v>
      </x:c>
      <x:c r="F32" s="29" t="n">
        <x:v>1</x:v>
      </x:c>
      <x:c r="G32" s="29" t="n">
        <x:v>16</x:v>
      </x:c>
      <x:c r="H32" s="29" t="n">
        <x:v>32</x:v>
      </x:c>
      <x:c r="I32" s="27" t="str">
        <x:v>1:2</x:v>
      </x:c>
      <x:c r="J32" s="29" t="n">
        <x:v>8192</x:v>
      </x:c>
      <x:c r="K32" s="29" t="n">
        <x:v>128</x:v>
      </x:c>
      <x:c r="L32" s="29" t="n">
        <x:v>64</x:v>
      </x:c>
      <x:c r="M32" s="29" t="n">
        <x:v>64</x:v>
      </x:c>
      <x:c r="N32" s="27" t="str">
        <x:v>[0,8192]</x:v>
      </x:c>
      <x:c r="O32" s="27" t="str">
        <x:v>是</x:v>
      </x:c>
      <x:c r="P32" s="27" t="str">
        <x:v>FP32</x:v>
      </x:c>
      <x:c r="Q32" s="29" t="n">
        <x:f>F32*H32</x:f>
        <x:v>32</x:v>
      </x:c>
      <x:c r="R32" s="27" t="str">
        <x:v>低</x:v>
      </x:c>
      <x:c r="S32" s="33" t="str">
        <x:v>varlen 与 GVA 组合：cu_seqlens=[0,8192]</x:v>
      </x:c>
    </x:row>
    <x:row r="33">
      <x:c r="A33" s="27" t="str">
        <x:v>PPFM-25</x:v>
      </x:c>
      <x:c r="B33" s="28" t="str">
        <x:v>精度-GVA</x:v>
      </x:c>
      <x:c r="C33" s="28" t="str">
        <x:v>varlen + GVA 1:3</x:v>
      </x:c>
      <x:c r="D33" s="27" t="str">
        <x:v>GDN</x:v>
      </x:c>
      <x:c r="E33" s="29" t="n">
        <x:v>1</x:v>
      </x:c>
      <x:c r="F33" s="29" t="n">
        <x:v>1</x:v>
      </x:c>
      <x:c r="G33" s="29" t="n">
        <x:v>21</x:v>
      </x:c>
      <x:c r="H33" s="29" t="n">
        <x:v>63</x:v>
      </x:c>
      <x:c r="I33" s="27" t="str">
        <x:v>1:3</x:v>
      </x:c>
      <x:c r="J33" s="29" t="n">
        <x:v>16387</x:v>
      </x:c>
      <x:c r="K33" s="29" t="n">
        <x:v>257</x:v>
      </x:c>
      <x:c r="L33" s="29" t="n">
        <x:v>3</x:v>
      </x:c>
      <x:c r="M33" s="29" t="n">
        <x:v>64</x:v>
      </x:c>
      <x:c r="N33" s="27" t="str">
        <x:v>[0,16387]</x:v>
      </x:c>
      <x:c r="O33" s="27" t="str">
        <x:v>是</x:v>
      </x:c>
      <x:c r="P33" s="27" t="str">
        <x:v>FP32</x:v>
      </x:c>
      <x:c r="Q33" s="29" t="n">
        <x:f>F33*H33</x:f>
        <x:v>63</x:v>
      </x:c>
      <x:c r="R33" s="27" t="str">
        <x:v>低</x:v>
      </x:c>
      <x:c r="S33" s="33" t="str">
        <x:v>varlen + GVA + 尾块：cu_seqlens=[0,16387]、HV 非 2 的幂</x:v>
      </x:c>
    </x:row>
    <x:row r="34">
      <x:c r="A34" s="23" t="str">
        <x:v>PPFM-26</x:v>
      </x:c>
      <x:c r="B34" s="19" t="str">
        <x:v>精度-dtype</x:v>
      </x:c>
      <x:c r="C34" s="19" t="str">
        <x:v>g FP32</x:v>
      </x:c>
      <x:c r="D34" s="23" t="str">
        <x:v>GDN</x:v>
      </x:c>
      <x:c r="E34" s="25" t="n">
        <x:v>1</x:v>
      </x:c>
      <x:c r="F34" s="25" t="n">
        <x:v>1</x:v>
      </x:c>
      <x:c r="G34" s="25" t="n">
        <x:v>8</x:v>
      </x:c>
      <x:c r="H34" s="25" t="n">
        <x:v>8</x:v>
      </x:c>
      <x:c r="I34" s="23" t="str">
        <x:v>1:1</x:v>
      </x:c>
      <x:c r="J34" s="25" t="n">
        <x:v>1024</x:v>
      </x:c>
      <x:c r="K34" s="25" t="n">
        <x:v>16</x:v>
      </x:c>
      <x:c r="L34" s="25" t="n">
        <x:v>64</x:v>
      </x:c>
      <x:c r="M34" s="25" t="n">
        <x:v>64</x:v>
      </x:c>
      <x:c r="N34" s="23" t="str">
        <x:v>[0,1024]</x:v>
      </x:c>
      <x:c r="O34" s="23" t="str">
        <x:v>是</x:v>
      </x:c>
      <x:c r="P34" s="23" t="str">
        <x:v>FP32</x:v>
      </x:c>
      <x:c r="Q34" s="25" t="n">
        <x:f>F34*H34</x:f>
        <x:v>8</x:v>
      </x:c>
      <x:c r="R34" s="23" t="str">
        <x:v>中</x:v>
      </x:c>
      <x:c r="S34" s="34" t="str">
        <x:v>g 为 FP32（主要带宽项）</x:v>
      </x:c>
    </x:row>
    <x:row r="35">
      <x:c r="A35" s="23" t="str">
        <x:v>PPFM-27</x:v>
      </x:c>
      <x:c r="B35" s="19" t="str">
        <x:v>精度-dtype</x:v>
      </x:c>
      <x:c r="C35" s="19" t="str">
        <x:v>g BF16</x:v>
      </x:c>
      <x:c r="D35" s="23" t="str">
        <x:v>GDN</x:v>
      </x:c>
      <x:c r="E35" s="25" t="n">
        <x:v>1</x:v>
      </x:c>
      <x:c r="F35" s="25" t="n">
        <x:v>1</x:v>
      </x:c>
      <x:c r="G35" s="25" t="n">
        <x:v>8</x:v>
      </x:c>
      <x:c r="H35" s="25" t="n">
        <x:v>8</x:v>
      </x:c>
      <x:c r="I35" s="23" t="str">
        <x:v>1:1</x:v>
      </x:c>
      <x:c r="J35" s="25" t="n">
        <x:v>1024</x:v>
      </x:c>
      <x:c r="K35" s="25" t="n">
        <x:v>16</x:v>
      </x:c>
      <x:c r="L35" s="25" t="n">
        <x:v>64</x:v>
      </x:c>
      <x:c r="M35" s="25" t="n">
        <x:v>64</x:v>
      </x:c>
      <x:c r="N35" s="23" t="str">
        <x:v>[0,1024]</x:v>
      </x:c>
      <x:c r="O35" s="23" t="str">
        <x:v>是</x:v>
      </x:c>
      <x:c r="P35" s="23" t="str">
        <x:v>BF16</x:v>
      </x:c>
      <x:c r="Q35" s="25" t="n">
        <x:f>F35*H35</x:f>
        <x:v>8</x:v>
      </x:c>
      <x:c r="R35" s="23" t="str">
        <x:v>低</x:v>
      </x:c>
      <x:c r="S35" s="34" t="str">
        <x:v>g 为 BF16</x:v>
      </x:c>
    </x:row>
    <x:row r="36">
      <x:c r="A36" s="23" t="str">
        <x:v>PPFM-28</x:v>
      </x:c>
      <x:c r="B36" s="19" t="str">
        <x:v>精度-dtype</x:v>
      </x:c>
      <x:c r="C36" s="19" t="str">
        <x:v>gk FP32</x:v>
      </x:c>
      <x:c r="D36" s="23" t="str">
        <x:v>KDA</x:v>
      </x:c>
      <x:c r="E36" s="25" t="n">
        <x:v>1</x:v>
      </x:c>
      <x:c r="F36" s="25" t="n">
        <x:v>1</x:v>
      </x:c>
      <x:c r="G36" s="25" t="n">
        <x:v>8</x:v>
      </x:c>
      <x:c r="H36" s="25" t="n">
        <x:v>8</x:v>
      </x:c>
      <x:c r="I36" s="23" t="str">
        <x:v>1:1</x:v>
      </x:c>
      <x:c r="J36" s="25" t="n">
        <x:v>1024</x:v>
      </x:c>
      <x:c r="K36" s="25" t="n">
        <x:v>16</x:v>
      </x:c>
      <x:c r="L36" s="25" t="n">
        <x:v>64</x:v>
      </x:c>
      <x:c r="M36" s="25" t="n">
        <x:v>64</x:v>
      </x:c>
      <x:c r="N36" s="23" t="str">
        <x:v>[0,1024]</x:v>
      </x:c>
      <x:c r="O36" s="23" t="str">
        <x:v>是</x:v>
      </x:c>
      <x:c r="P36" s="23" t="str">
        <x:v>FP32</x:v>
      </x:c>
      <x:c r="Q36" s="25" t="n">
        <x:f>F36*H36</x:f>
        <x:v>8</x:v>
      </x:c>
      <x:c r="R36" s="23" t="str">
        <x:v>中</x:v>
      </x:c>
      <x:c r="S36" s="34" t="str">
        <x:v>gk 为 FP32（主要带宽项）</x:v>
      </x:c>
    </x:row>
    <x:row r="37">
      <x:c r="A37" s="23" t="str">
        <x:v>PPFM-29</x:v>
      </x:c>
      <x:c r="B37" s="19" t="str">
        <x:v>精度-dtype</x:v>
      </x:c>
      <x:c r="C37" s="19" t="str">
        <x:v>gk BF16</x:v>
      </x:c>
      <x:c r="D37" s="23" t="str">
        <x:v>KDA</x:v>
      </x:c>
      <x:c r="E37" s="25" t="n">
        <x:v>1</x:v>
      </x:c>
      <x:c r="F37" s="25" t="n">
        <x:v>1</x:v>
      </x:c>
      <x:c r="G37" s="25" t="n">
        <x:v>8</x:v>
      </x:c>
      <x:c r="H37" s="25" t="n">
        <x:v>8</x:v>
      </x:c>
      <x:c r="I37" s="23" t="str">
        <x:v>1:1</x:v>
      </x:c>
      <x:c r="J37" s="25" t="n">
        <x:v>1024</x:v>
      </x:c>
      <x:c r="K37" s="25" t="n">
        <x:v>16</x:v>
      </x:c>
      <x:c r="L37" s="25" t="n">
        <x:v>64</x:v>
      </x:c>
      <x:c r="M37" s="25" t="n">
        <x:v>64</x:v>
      </x:c>
      <x:c r="N37" s="23" t="str">
        <x:v>[0,1024]</x:v>
      </x:c>
      <x:c r="O37" s="23" t="str">
        <x:v>是</x:v>
      </x:c>
      <x:c r="P37" s="23" t="str">
        <x:v>BF16</x:v>
      </x:c>
      <x:c r="Q37" s="25" t="n">
        <x:f>F37*H37</x:f>
        <x:v>8</x:v>
      </x:c>
      <x:c r="R37" s="23" t="str">
        <x:v>低</x:v>
      </x:c>
      <x:c r="S37" s="34" t="str">
        <x:v>gk 为 BF16</x:v>
      </x:c>
    </x:row>
    <x:row r="38">
      <x:c r="A38" s="27" t="str">
        <x:v>PPFM-30</x:v>
      </x:c>
      <x:c r="B38" s="28" t="str">
        <x:v>精度-并行度</x:v>
      </x:c>
      <x:c r="C38" s="28" t="str">
        <x:v>Nseq=1×HV=8</x:v>
      </x:c>
      <x:c r="D38" s="27" t="str">
        <x:v>GDN</x:v>
      </x:c>
      <x:c r="E38" s="29" t="n">
        <x:v>1</x:v>
      </x:c>
      <x:c r="F38" s="29" t="n">
        <x:v>1</x:v>
      </x:c>
      <x:c r="G38" s="29" t="n">
        <x:v>8</x:v>
      </x:c>
      <x:c r="H38" s="29" t="n">
        <x:v>8</x:v>
      </x:c>
      <x:c r="I38" s="27" t="str">
        <x:v>1:1</x:v>
      </x:c>
      <x:c r="J38" s="29" t="n">
        <x:v>4096</x:v>
      </x:c>
      <x:c r="K38" s="29" t="n">
        <x:v>64</x:v>
      </x:c>
      <x:c r="L38" s="29" t="n">
        <x:v>64</x:v>
      </x:c>
      <x:c r="M38" s="29" t="n">
        <x:v>64</x:v>
      </x:c>
      <x:c r="N38" s="27" t="str">
        <x:v>[0,4096]</x:v>
      </x:c>
      <x:c r="O38" s="27" t="str">
        <x:v>是</x:v>
      </x:c>
      <x:c r="P38" s="27" t="str">
        <x:v>FP32</x:v>
      </x:c>
      <x:c r="Q38" s="29" t="n">
        <x:f>F38*H38</x:f>
        <x:v>8</x:v>
      </x:c>
      <x:c r="R38" s="27" t="str">
        <x:v>高</x:v>
      </x:c>
      <x:c r="S38" s="33" t="str">
        <x:v>Nwork=8：28 个 AIC 只用到 8 个，用不满核的最坏情形（GDN 表 V2 配对）；打包 1 段 × 每段 4096</x:v>
      </x:c>
    </x:row>
    <x:row r="39">
      <x:c r="A39" s="27" t="str">
        <x:v>PPFM-31</x:v>
      </x:c>
      <x:c r="B39" s="28" t="str">
        <x:v>精度-并行度</x:v>
      </x:c>
      <x:c r="C39" s="28" t="str">
        <x:v>Nseq=1×HV=16</x:v>
      </x:c>
      <x:c r="D39" s="27" t="str">
        <x:v>KDA</x:v>
      </x:c>
      <x:c r="E39" s="29" t="n">
        <x:v>1</x:v>
      </x:c>
      <x:c r="F39" s="29" t="n">
        <x:v>1</x:v>
      </x:c>
      <x:c r="G39" s="29" t="n">
        <x:v>8</x:v>
      </x:c>
      <x:c r="H39" s="29" t="n">
        <x:v>16</x:v>
      </x:c>
      <x:c r="I39" s="27" t="str">
        <x:v>1:2</x:v>
      </x:c>
      <x:c r="J39" s="29" t="n">
        <x:v>4096</x:v>
      </x:c>
      <x:c r="K39" s="29" t="n">
        <x:v>64</x:v>
      </x:c>
      <x:c r="L39" s="29" t="n">
        <x:v>64</x:v>
      </x:c>
      <x:c r="M39" s="29" t="n">
        <x:v>64</x:v>
      </x:c>
      <x:c r="N39" s="27" t="str">
        <x:v>[0,4096]</x:v>
      </x:c>
      <x:c r="O39" s="27" t="str">
        <x:v>是</x:v>
      </x:c>
      <x:c r="P39" s="27" t="str">
        <x:v>FP32</x:v>
      </x:c>
      <x:c r="Q39" s="29" t="n">
        <x:f>F39*H39</x:f>
        <x:v>16</x:v>
      </x:c>
      <x:c r="R39" s="27" t="str">
        <x:v>高</x:v>
      </x:c>
      <x:c r="S39" s="33" t="str">
        <x:v>Nwork=16：只用到 16 个 AIC（GDN 表 V1 配对）；打包 1 段 × 每段 4096</x:v>
      </x:c>
    </x:row>
    <x:row r="40">
      <x:c r="A40" s="27" t="str">
        <x:v>PPFM-32</x:v>
      </x:c>
      <x:c r="B40" s="28" t="str">
        <x:v>精度-并行度</x:v>
      </x:c>
      <x:c r="C40" s="28" t="str">
        <x:v>Nseq=1×HV=32</x:v>
      </x:c>
      <x:c r="D40" s="27" t="str">
        <x:v>GDN</x:v>
      </x:c>
      <x:c r="E40" s="29" t="n">
        <x:v>1</x:v>
      </x:c>
      <x:c r="F40" s="29" t="n">
        <x:v>1</x:v>
      </x:c>
      <x:c r="G40" s="29" t="n">
        <x:v>8</x:v>
      </x:c>
      <x:c r="H40" s="29" t="n">
        <x:v>32</x:v>
      </x:c>
      <x:c r="I40" s="27" t="str">
        <x:v>1:4</x:v>
      </x:c>
      <x:c r="J40" s="29" t="n">
        <x:v>4096</x:v>
      </x:c>
      <x:c r="K40" s="29" t="n">
        <x:v>64</x:v>
      </x:c>
      <x:c r="L40" s="29" t="n">
        <x:v>64</x:v>
      </x:c>
      <x:c r="M40" s="29" t="n">
        <x:v>64</x:v>
      </x:c>
      <x:c r="N40" s="27" t="str">
        <x:v>[0,4096]</x:v>
      </x:c>
      <x:c r="O40" s="27" t="str">
        <x:v>是</x:v>
      </x:c>
      <x:c r="P40" s="27" t="str">
        <x:v>FP32</x:v>
      </x:c>
      <x:c r="Q40" s="29" t="n">
        <x:f>F40*H40</x:f>
        <x:v>32</x:v>
      </x:c>
      <x:c r="R40" s="27" t="str">
        <x:v>低</x:v>
      </x:c>
      <x:c r="S40" s="33" t="str">
        <x:v>Nwork=32：1.14 波，刚好铺满（GDN 表 V3/V4 配对）；打包 1 段 × 每段 4096</x:v>
      </x:c>
    </x:row>
    <x:row r="41">
      <x:c r="A41" s="27" t="str">
        <x:v>PPFM-33</x:v>
      </x:c>
      <x:c r="B41" s="28" t="str">
        <x:v>精度-并行度</x:v>
      </x:c>
      <x:c r="C41" s="28" t="str">
        <x:v>Nseq=1×HV=64</x:v>
      </x:c>
      <x:c r="D41" s="27" t="str">
        <x:v>KDA</x:v>
      </x:c>
      <x:c r="E41" s="29" t="n">
        <x:v>1</x:v>
      </x:c>
      <x:c r="F41" s="29" t="n">
        <x:v>1</x:v>
      </x:c>
      <x:c r="G41" s="29" t="n">
        <x:v>8</x:v>
      </x:c>
      <x:c r="H41" s="29" t="n">
        <x:v>64</x:v>
      </x:c>
      <x:c r="I41" s="27" t="str">
        <x:v>1:8</x:v>
      </x:c>
      <x:c r="J41" s="29" t="n">
        <x:v>4096</x:v>
      </x:c>
      <x:c r="K41" s="29" t="n">
        <x:v>64</x:v>
      </x:c>
      <x:c r="L41" s="29" t="n">
        <x:v>64</x:v>
      </x:c>
      <x:c r="M41" s="29" t="n">
        <x:v>64</x:v>
      </x:c>
      <x:c r="N41" s="27" t="str">
        <x:v>[0,4096]</x:v>
      </x:c>
      <x:c r="O41" s="27" t="str">
        <x:v>是</x:v>
      </x:c>
      <x:c r="P41" s="27" t="str">
        <x:v>FP32</x:v>
      </x:c>
      <x:c r="Q41" s="29" t="n">
        <x:f>F41*H41</x:f>
        <x:v>64</x:v>
      </x:c>
      <x:c r="R41" s="27" t="str">
        <x:v>低</x:v>
      </x:c>
      <x:c r="S41" s="33" t="str">
        <x:v>Nwork=64：2.29 波；打包 1 段 × 每段 4096</x:v>
      </x:c>
    </x:row>
    <x:row r="42">
      <x:c r="A42" s="27" t="str">
        <x:v>PPFM-34</x:v>
      </x:c>
      <x:c r="B42" s="28" t="str">
        <x:v>精度-并行度</x:v>
      </x:c>
      <x:c r="C42" s="28" t="str">
        <x:v>Nseq=16×HV=8</x:v>
      </x:c>
      <x:c r="D42" s="27" t="str">
        <x:v>GDN</x:v>
      </x:c>
      <x:c r="E42" s="29" t="n">
        <x:v>1</x:v>
      </x:c>
      <x:c r="F42" s="29" t="n">
        <x:v>16</x:v>
      </x:c>
      <x:c r="G42" s="29" t="n">
        <x:v>8</x:v>
      </x:c>
      <x:c r="H42" s="29" t="n">
        <x:v>8</x:v>
      </x:c>
      <x:c r="I42" s="27" t="str">
        <x:v>1:1</x:v>
      </x:c>
      <x:c r="J42" s="29" t="n">
        <x:v>65536</x:v>
      </x:c>
      <x:c r="K42" s="29" t="n">
        <x:v>64</x:v>
      </x:c>
      <x:c r="L42" s="29" t="n">
        <x:v>64</x:v>
      </x:c>
      <x:c r="M42" s="29" t="n">
        <x:v>64</x:v>
      </x:c>
      <x:c r="N42" s="27" t="str">
        <x:v>[0,4096,…,65536]（16 段等长，每段 4096）</x:v>
      </x:c>
      <x:c r="O42" s="27" t="str">
        <x:v>是</x:v>
      </x:c>
      <x:c r="P42" s="27" t="str">
        <x:v>FP32</x:v>
      </x:c>
      <x:c r="Q42" s="29" t="n">
        <x:f>F42*H42</x:f>
        <x:v>128</x:v>
      </x:c>
      <x:c r="R42" s="27" t="str">
        <x:v>低</x:v>
      </x:c>
      <x:c r="S42" s="33" t="str">
        <x:v>Nwork=128：小 HV 靠 batch 补回并行度（GDN 表 C3 配对）；打包 16 段 × 每段 4096</x:v>
      </x:c>
    </x:row>
    <x:row r="43">
      <x:c r="A43" s="27" t="str">
        <x:v>PPFM-35</x:v>
      </x:c>
      <x:c r="B43" s="28" t="str">
        <x:v>精度-并行度</x:v>
      </x:c>
      <x:c r="C43" s="28" t="str">
        <x:v>Nseq=64×HV=8</x:v>
      </x:c>
      <x:c r="D43" s="27" t="str">
        <x:v>KDA</x:v>
      </x:c>
      <x:c r="E43" s="29" t="n">
        <x:v>1</x:v>
      </x:c>
      <x:c r="F43" s="29" t="n">
        <x:v>64</x:v>
      </x:c>
      <x:c r="G43" s="29" t="n">
        <x:v>8</x:v>
      </x:c>
      <x:c r="H43" s="29" t="n">
        <x:v>8</x:v>
      </x:c>
      <x:c r="I43" s="27" t="str">
        <x:v>1:1</x:v>
      </x:c>
      <x:c r="J43" s="29" t="n">
        <x:v>262144</x:v>
      </x:c>
      <x:c r="K43" s="29" t="n">
        <x:v>64</x:v>
      </x:c>
      <x:c r="L43" s="29" t="n">
        <x:v>64</x:v>
      </x:c>
      <x:c r="M43" s="29" t="n">
        <x:v>64</x:v>
      </x:c>
      <x:c r="N43" s="27" t="str">
        <x:v>[0,4096,…,262144]（64 段等长，每段 4096）</x:v>
      </x:c>
      <x:c r="O43" s="27" t="str">
        <x:v>是</x:v>
      </x:c>
      <x:c r="P43" s="27" t="str">
        <x:v>FP32</x:v>
      </x:c>
      <x:c r="Q43" s="29" t="n">
        <x:f>F43*H43</x:f>
        <x:v>512</x:v>
      </x:c>
      <x:c r="R43" s="27" t="str">
        <x:v>低</x:v>
      </x:c>
      <x:c r="S43" s="33" t="str">
        <x:v>Nwork=512：18.3 波（GDN 表 C1/C6 配对）；打包 64 段 × 每段 4096</x:v>
      </x:c>
    </x:row>
    <x:row r="44">
      <x:c r="A44" s="23" t="str">
        <x:v>PPFM-36</x:v>
      </x:c>
      <x:c r="B44" s="19" t="str">
        <x:v>精度-子区间</x:v>
      </x:c>
      <x:c r="C44" s="19" t="str">
        <x:v>sub-interval [40,512)</x:v>
      </x:c>
      <x:c r="D44" s="23" t="str">
        <x:v>GDN</x:v>
      </x:c>
      <x:c r="E44" s="25" t="n">
        <x:v>1</x:v>
      </x:c>
      <x:c r="F44" s="25" t="n">
        <x:v>1</x:v>
      </x:c>
      <x:c r="G44" s="25" t="n">
        <x:v>8</x:v>
      </x:c>
      <x:c r="H44" s="25" t="n">
        <x:v>8</x:v>
      </x:c>
      <x:c r="I44" s="23" t="str">
        <x:v>1:1</x:v>
      </x:c>
      <x:c r="J44" s="25" t="n">
        <x:v>472</x:v>
      </x:c>
      <x:c r="K44" s="25" t="n">
        <x:v>8</x:v>
      </x:c>
      <x:c r="L44" s="25" t="n">
        <x:v>24</x:v>
      </x:c>
      <x:c r="M44" s="25" t="n">
        <x:v>64</x:v>
      </x:c>
      <x:c r="N44" s="23" t="str">
        <x:v>[40,512]</x:v>
      </x:c>
      <x:c r="O44" s="23" t="str">
        <x:v>是</x:v>
      </x:c>
      <x:c r="P44" s="23" t="str">
        <x:v>FP32</x:v>
      </x:c>
      <x:c r="Q44" s="25" t="n">
        <x:f>F44*H44</x:f>
        <x:v>8</x:v>
      </x:c>
      <x:c r="R44" s="23" t="str">
        <x:v>中</x:v>
      </x:c>
      <x:c r="S44" s="34" t="str">
        <x:v>子区间：张量 T=512，只算本地[40,512)（bos&gt;0、472 token），对应竞品 contiguous 的 cu_seqlens[-2:]；张量 T 全长 512</x:v>
      </x:c>
    </x:row>
    <x:row r="45">
      <x:c r="A45" s="23" t="str">
        <x:v>PPFM-37</x:v>
      </x:c>
      <x:c r="B45" s="19" t="str">
        <x:v>精度-子区间</x:v>
      </x:c>
      <x:c r="C45" s="19" t="str">
        <x:v>sub-interval [444,512)</x:v>
      </x:c>
      <x:c r="D45" s="23" t="str">
        <x:v>KDA</x:v>
      </x:c>
      <x:c r="E45" s="25" t="n">
        <x:v>1</x:v>
      </x:c>
      <x:c r="F45" s="25" t="n">
        <x:v>1</x:v>
      </x:c>
      <x:c r="G45" s="25" t="n">
        <x:v>8</x:v>
      </x:c>
      <x:c r="H45" s="25" t="n">
        <x:v>8</x:v>
      </x:c>
      <x:c r="I45" s="23" t="str">
        <x:v>1:1</x:v>
      </x:c>
      <x:c r="J45" s="25" t="n">
        <x:v>68</x:v>
      </x:c>
      <x:c r="K45" s="25" t="n">
        <x:v>2</x:v>
      </x:c>
      <x:c r="L45" s="25" t="n">
        <x:v>4</x:v>
      </x:c>
      <x:c r="M45" s="25" t="n">
        <x:v>64</x:v>
      </x:c>
      <x:c r="N45" s="23" t="str">
        <x:v>[444,512]</x:v>
      </x:c>
      <x:c r="O45" s="23" t="str">
        <x:v>是</x:v>
      </x:c>
      <x:c r="P45" s="23" t="str">
        <x:v>FP32</x:v>
      </x:c>
      <x:c r="Q45" s="25" t="n">
        <x:f>F45*H45</x:f>
        <x:v>8</x:v>
      </x:c>
      <x:c r="R45" s="23" t="str">
        <x:v>低</x:v>
      </x:c>
      <x:c r="S45" s="34" t="str">
        <x:v>子区间：张量 T=512，只算本地[444,512)（bos&gt;0、68 token、NT=2），对应竞品 zigzag back 的 cu_seqlens[-2:]；张量 T 全长 512</x:v>
      </x:c>
    </x:row>
    <x:row r="46">
      <x:c r="A46" s="27" t="str">
        <x:v>PPFM-38</x:v>
      </x:c>
      <x:c r="B46" s="28" t="str">
        <x:v>性能</x:v>
      </x:c>
      <x:c r="C46" s="28" t="str">
        <x:v>对齐 H20 model-gk</x:v>
      </x:c>
      <x:c r="D46" s="27" t="str">
        <x:v>KDA</x:v>
      </x:c>
      <x:c r="E46" s="29" t="n">
        <x:v>1</x:v>
      </x:c>
      <x:c r="F46" s="29" t="n">
        <x:v>1</x:v>
      </x:c>
      <x:c r="G46" s="29" t="n">
        <x:v>32</x:v>
      </x:c>
      <x:c r="H46" s="29" t="n">
        <x:v>32</x:v>
      </x:c>
      <x:c r="I46" s="27" t="str">
        <x:v>1:1</x:v>
      </x:c>
      <x:c r="J46" s="29" t="n">
        <x:v>11264</x:v>
      </x:c>
      <x:c r="K46" s="29" t="n">
        <x:v>176</x:v>
      </x:c>
      <x:c r="L46" s="29" t="n">
        <x:v>64</x:v>
      </x:c>
      <x:c r="M46" s="29" t="n">
        <x:v>64</x:v>
      </x:c>
      <x:c r="N46" s="27" t="str">
        <x:v>[0,11264]</x:v>
      </x:c>
      <x:c r="O46" s="27" t="str">
        <x:v>是</x:v>
      </x:c>
      <x:c r="P46" s="27" t="str">
        <x:v>FP32</x:v>
      </x:c>
      <x:c r="Q46" s="29" t="n">
        <x:f>F46*H46</x:f>
        <x:v>32</x:v>
      </x:c>
      <x:c r="R46" s="27" t="str">
        <x:v>低</x:v>
      </x:c>
      <x:c r="S46" s="33" t="str">
        <x:v>H20 基线 case：决定 1.0x 判定的主口径</x:v>
      </x:c>
    </x:row>
    <x:row r="47">
      <x:c r="A47" s="27" t="str">
        <x:v>PPFM-39</x:v>
      </x:c>
      <x:c r="B47" s="28" t="str">
        <x:v>性能</x:v>
      </x:c>
      <x:c r="C47" s="28" t="str">
        <x:v>对齐 H20 model-g</x:v>
      </x:c>
      <x:c r="D47" s="27" t="str">
        <x:v>GDN</x:v>
      </x:c>
      <x:c r="E47" s="29" t="n">
        <x:v>1</x:v>
      </x:c>
      <x:c r="F47" s="29" t="n">
        <x:v>1</x:v>
      </x:c>
      <x:c r="G47" s="29" t="n">
        <x:v>32</x:v>
      </x:c>
      <x:c r="H47" s="29" t="n">
        <x:v>32</x:v>
      </x:c>
      <x:c r="I47" s="27" t="str">
        <x:v>1:1</x:v>
      </x:c>
      <x:c r="J47" s="29" t="n">
        <x:v>11264</x:v>
      </x:c>
      <x:c r="K47" s="29" t="n">
        <x:v>176</x:v>
      </x:c>
      <x:c r="L47" s="29" t="n">
        <x:v>64</x:v>
      </x:c>
      <x:c r="M47" s="29" t="n">
        <x:v>64</x:v>
      </x:c>
      <x:c r="N47" s="27" t="str">
        <x:v>[0,11264]</x:v>
      </x:c>
      <x:c r="O47" s="27" t="str">
        <x:v>是</x:v>
      </x:c>
      <x:c r="P47" s="27" t="str">
        <x:v>FP32</x:v>
      </x:c>
      <x:c r="Q47" s="29" t="n">
        <x:f>F47*H47</x:f>
        <x:v>32</x:v>
      </x:c>
      <x:c r="R47" s="27" t="str">
        <x:v>低</x:v>
      </x:c>
      <x:c r="S47" s="33" t="str">
        <x:v>g 路径的同一 shape</x:v>
      </x:c>
    </x:row>
    <x:row r="48">
      <x:c r="A48" s="27" t="str">
        <x:v>PPFM-40</x:v>
      </x:c>
      <x:c r="B48" s="28" t="str">
        <x:v>性能</x:v>
      </x:c>
      <x:c r="C48" s="28" t="str">
        <x:v>CP=2 窗口 + GVA</x:v>
      </x:c>
      <x:c r="D48" s="27" t="str">
        <x:v>GDN</x:v>
      </x:c>
      <x:c r="E48" s="29" t="n">
        <x:v>1</x:v>
      </x:c>
      <x:c r="F48" s="29" t="n">
        <x:v>1</x:v>
      </x:c>
      <x:c r="G48" s="29" t="n">
        <x:v>16</x:v>
      </x:c>
      <x:c r="H48" s="29" t="n">
        <x:v>32</x:v>
      </x:c>
      <x:c r="I48" s="27" t="str">
        <x:v>1:2</x:v>
      </x:c>
      <x:c r="J48" s="29" t="n">
        <x:v>5632</x:v>
      </x:c>
      <x:c r="K48" s="29" t="n">
        <x:v>88</x:v>
      </x:c>
      <x:c r="L48" s="29" t="n">
        <x:v>64</x:v>
      </x:c>
      <x:c r="M48" s="29" t="n">
        <x:v>64</x:v>
      </x:c>
      <x:c r="N48" s="27" t="str">
        <x:v>[0,5632]</x:v>
      </x:c>
      <x:c r="O48" s="27" t="str">
        <x:v>是</x:v>
      </x:c>
      <x:c r="P48" s="27" t="str">
        <x:v>FP32</x:v>
      </x:c>
      <x:c r="Q48" s="29" t="n">
        <x:f>F48*H48</x:f>
        <x:v>32</x:v>
      </x:c>
      <x:c r="R48" s="27" t="str">
        <x:v>低</x:v>
      </x:c>
      <x:c r="S48" s="33" t="str">
        <x:v>CP=2 下的真实窗口长度（11264/2）+ GVA 1:2</x:v>
      </x:c>
    </x:row>
    <x:row r="49">
      <x:c r="A49" s="30" t="str">
        <x:v>PPFM-41</x:v>
      </x:c>
      <x:c r="B49" s="31" t="str">
        <x:v>性能</x:v>
      </x:c>
      <x:c r="C49" s="31" t="str">
        <x:v>长窗口</x:v>
      </x:c>
      <x:c r="D49" s="30" t="str">
        <x:v>GDN</x:v>
      </x:c>
      <x:c r="E49" s="32" t="n">
        <x:v>1</x:v>
      </x:c>
      <x:c r="F49" s="32" t="n">
        <x:v>1</x:v>
      </x:c>
      <x:c r="G49" s="32" t="n">
        <x:v>32</x:v>
      </x:c>
      <x:c r="H49" s="32" t="n">
        <x:v>32</x:v>
      </x:c>
      <x:c r="I49" s="30" t="str">
        <x:v>1:1</x:v>
      </x:c>
      <x:c r="J49" s="32" t="n">
        <x:v>16384</x:v>
      </x:c>
      <x:c r="K49" s="32" t="n">
        <x:v>256</x:v>
      </x:c>
      <x:c r="L49" s="32" t="n">
        <x:v>64</x:v>
      </x:c>
      <x:c r="M49" s="32" t="n">
        <x:v>64</x:v>
      </x:c>
      <x:c r="N49" s="30" t="str">
        <x:v>[0,16384]</x:v>
      </x:c>
      <x:c r="O49" s="30" t="str">
        <x:v>是</x:v>
      </x:c>
      <x:c r="P49" s="30" t="str">
        <x:v>FP32</x:v>
      </x:c>
      <x:c r="Q49" s="32" t="n">
        <x:f>F49*H49</x:f>
        <x:v>32</x:v>
      </x:c>
      <x:c r="R49" s="30" t="str">
        <x:v>低</x:v>
      </x:c>
      <x:c r="S49" s="35" t="str">
        <x:v>长窗口：NT=256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D99A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44" hidden="0" customWidth="1"/>
    <x:col min="4" max="4" width="46" hidden="0" customWidth="1"/>
  </x:cols>
  <x:sheetData>
    <x:row r="2">
      <x:c r="A2" s="36" t="str">
        <x:v>非法输入与边界拒绝用例</x:v>
      </x:c>
    </x:row>
    <x:row r="3">
      <x:c r="A3" s="2"/>
      <x:c r="B3" s="2"/>
      <x:c r="C3" s="2"/>
      <x:c r="D3" s="2"/>
    </x:row>
    <x:row r="4">
      <x:c r="A4" s="3" t="str">
        <x:v>全部在 host 侧拦截，不进入 kernel；错误语义以 docs/api.md 第 6 节为准。</x:v>
      </x:c>
    </x:row>
    <x:row r="6">
      <x:c r="A6" s="40" t="str">
        <x:v>序号</x:v>
      </x:c>
      <x:c r="B6" s="41" t="str">
        <x:v>用例</x:v>
      </x:c>
      <x:c r="C6" s="41" t="str">
        <x:v>构造方式</x:v>
      </x:c>
      <x:c r="D6" s="42" t="str">
        <x:v>期望行为</x:v>
      </x:c>
    </x:row>
    <x:row r="7">
      <x:c r="A7" s="23" t="str">
        <x:v>E01</x:v>
      </x:c>
      <x:c r="B7" s="19" t="str">
        <x:v>K 非 128</x:v>
      </x:c>
      <x:c r="C7" s="34" t="str">
        <x:v>K=256</x:v>
      </x:c>
      <x:c r="D7" s="19" t="str">
        <x:v>host 拒绝（固定规格，不做 fallback）</x:v>
      </x:c>
    </x:row>
    <x:row r="8">
      <x:c r="A8" s="23" t="str">
        <x:v>E02</x:v>
      </x:c>
      <x:c r="B8" s="19" t="str">
        <x:v>V 非 128</x:v>
      </x:c>
      <x:c r="C8" s="34" t="str">
        <x:v>V=256</x:v>
      </x:c>
      <x:c r="D8" s="19" t="str">
        <x:v>host 拒绝（同上）</x:v>
      </x:c>
    </x:row>
    <x:row r="9">
      <x:c r="A9" s="23" t="str">
        <x:v>E03</x:v>
      </x:c>
      <x:c r="B9" s="19" t="str">
        <x:v>chunk_size 非 64</x:v>
      </x:c>
      <x:c r="C9" s="34" t="str">
        <x:v>chunk_size=128</x:v>
      </x:c>
      <x:c r="D9" s="19" t="str">
        <x:v>host 拒绝（同上）</x:v>
      </x:c>
    </x:row>
    <x:row r="10">
      <x:c r="A10" s="23" t="str">
        <x:v>E04</x:v>
      </x:c>
      <x:c r="B10" s="19" t="str">
        <x:v>g 与 gk 同时给出</x:v>
      </x:c>
      <x:c r="C10" s="34" t="str">
        <x:v>g 与 gk 都不为 None</x:v>
      </x:c>
      <x:c r="D10" s="19" t="str">
        <x:v>host 拒绝</x:v>
      </x:c>
    </x:row>
    <x:row r="11">
      <x:c r="A11" s="23" t="str">
        <x:v>E05</x:v>
      </x:c>
      <x:c r="B11" s="19" t="str">
        <x:v>g 与 gk 都缺失</x:v>
      </x:c>
      <x:c r="C11" s="34" t="str">
        <x:v>g=None 且 gk=None</x:v>
      </x:c>
      <x:c r="D11" s="19" t="str">
        <x:v>host 拒绝</x:v>
      </x:c>
    </x:row>
    <x:row r="12">
      <x:c r="A12" s="23" t="str">
        <x:v>E06</x:v>
      </x:c>
      <x:c r="B12" s="19" t="str">
        <x:v>bg 缺 gk</x:v>
      </x:c>
      <x:c r="C12" s="34" t="str">
        <x:v>给出 bg 但没有 gk</x:v>
      </x:c>
      <x:c r="D12" s="19" t="str">
        <x:v>host 拒绝（DPLR 要求两者配套）</x:v>
      </x:c>
    </x:row>
    <x:row r="13">
      <x:c r="A13" s="23" t="str">
        <x:v>E07</x:v>
      </x:c>
      <x:c r="B13" s="19" t="str">
        <x:v>变长 cu_seqlens 非法</x:v>
      </x:c>
      <x:c r="C13" s="34" t="str">
        <x:v>首元素非 0 / 非严格递增 / 末元素 ≠ T_win / 含零长段</x:v>
      </x:c>
      <x:c r="D13" s="19" t="str">
        <x:v>host 拒绝（多段合法，但边界本身必须合法）</x:v>
      </x:c>
    </x:row>
    <x:row r="14">
      <x:c r="A14" s="23" t="str">
        <x:v>E08</x:v>
      </x:c>
      <x:c r="B14" s="19" t="str">
        <x:v>空窗口</x:v>
      </x:c>
      <x:c r="C14" s="34" t="str">
        <x:v>T_win=0</x:v>
      </x:c>
      <x:c r="D14" s="19" t="str">
        <x:v>host 拒绝</x:v>
      </x:c>
    </x:row>
    <x:row r="15">
      <x:c r="A15" s="23" t="str">
        <x:v>E09</x:v>
      </x:c>
      <x:c r="B15" s="19" t="str">
        <x:v>u/v 别名不成立</x:v>
      </x:c>
      <x:c r="C15" s="34" t="str">
        <x:v>GDN 路径下 u 与 v 非同一张量且未给 bg</x:v>
      </x:c>
      <x:c r="D15" s="19" t="str">
        <x:v>host 拒绝</x:v>
      </x:c>
    </x:row>
    <x:row r="16">
      <x:c r="A16" s="23" t="str">
        <x:v>E10</x:v>
      </x:c>
      <x:c r="B16" s="19" t="str">
        <x:v>head 比例非法</x:v>
      </x:c>
      <x:c r="C16" s="34" t="str">
        <x:v>HV % HK != 0</x:v>
      </x:c>
      <x:c r="D16" s="19" t="str">
        <x:v>host 拒绝</x:v>
      </x:c>
    </x:row>
    <x:row r="17">
      <x:c r="A17" s="23" t="str">
        <x:v>E11</x:v>
      </x:c>
      <x:c r="B17" s="19" t="str">
        <x:v>HK 大于 HV</x:v>
      </x:c>
      <x:c r="C17" s="34" t="str">
        <x:v>HK=32、HV=8</x:v>
      </x:c>
      <x:c r="D17" s="19" t="str">
        <x:v>host 拒绝</x:v>
      </x:c>
    </x:row>
    <x:row r="18">
      <x:c r="A18" s="23" t="str">
        <x:v>E12</x:v>
      </x:c>
      <x:c r="B18" s="19" t="str">
        <x:v>gate dtype 非法</x:v>
      </x:c>
      <x:c r="C18" s="34" t="str">
        <x:v>g 为 FP16</x:v>
      </x:c>
      <x:c r="D18" s="19" t="str">
        <x:v>host 拒绝</x:v>
      </x:c>
    </x:row>
    <x:row r="19">
      <x:c r="A19" s="23" t="str">
        <x:v>E13</x:v>
      </x:c>
      <x:c r="B19" s="19" t="str">
        <x:v>gk 路径 k 未展开</x:v>
      </x:c>
      <x:c r="C19" s="34" t="str">
        <x:v>KDA/DPLR 下 k 的 head 维不等于 HV</x:v>
      </x:c>
      <x:c r="D19" s="19" t="str">
        <x:v>host 拒绝（gk 路径要求 HK==HV）</x:v>
      </x:c>
    </x:row>
    <x:row r="20">
      <x:c r="A20" s="24" t="str">
        <x:v>E14</x:v>
      </x:c>
      <x:c r="B20" s="20" t="str">
        <x:v>B 不为 1</x:v>
      </x:c>
      <x:c r="C20" s="44" t="str">
        <x:v>定长 batch 直接传 [B,T,H,D]（B&gt;1）</x:v>
      </x:c>
      <x:c r="D20" s="20" t="str">
        <x:v>host 拒绝（CP 契约固定 B=1，batch 请打包进 T 轴）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8D99AE"/>
  </x:sheetPr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36" hidden="0" customWidth="1"/>
    <x:col min="4" max="4" width="60" hidden="0" customWidth="1"/>
  </x:cols>
  <x:sheetData>
    <x:row r="2">
      <x:c r="A2" s="36" t="str">
        <x:v>覆盖矩阵与执行说明</x:v>
      </x:c>
    </x:row>
    <x:row r="3">
      <x:c r="A3" s="2"/>
      <x:c r="B3" s="2"/>
      <x:c r="C3" s="2"/>
      <x:c r="D3" s="2"/>
    </x:row>
    <x:row r="5">
      <x:c r="A5" s="45" t="str">
        <x:v>维度覆盖</x:v>
      </x:c>
    </x:row>
    <x:row r="6">
      <x:c r="A6" s="40" t="str">
        <x:v>类别</x:v>
      </x:c>
      <x:c r="B6" s="41" t="str">
        <x:v>取值</x:v>
      </x:c>
      <x:c r="C6" s="41" t="str">
        <x:v>用例数</x:v>
      </x:c>
      <x:c r="D6" s="42" t="str">
        <x:v>说明</x:v>
      </x:c>
    </x:row>
    <x:row r="7">
      <x:c r="A7" s="19" t="str">
        <x:v>分组</x:v>
      </x:c>
      <x:c r="B7" s="19" t="str">
        <x:v>精度-窗口规模</x:v>
      </x:c>
      <x:c r="C7" s="25" t="n">
        <x:f>COUNTIF('用例表'!$B$9:$B$49,"精度-窗口规模")</x:f>
        <x:v>10</x:v>
      </x:c>
      <x:c r="D7" s="19" t="str">
        <x:v>GDN / KDA 各 5 种 T_win：1 / 1023 / 4096 / 8191 / 32767</x:v>
      </x:c>
    </x:row>
    <x:row r="8">
      <x:c r="A8" s="19" t="str">
        <x:v>分组</x:v>
      </x:c>
      <x:c r="B8" s="19" t="str">
        <x:v>精度-变长</x:v>
      </x:c>
      <x:c r="C8" s="25" t="n">
        <x:f>COUNTIF('用例表'!$B$9:$B$49,"精度-变长")</x:f>
        <x:v>8</x:v>
      </x:c>
      <x:c r="D8" s="19" t="str">
        <x:v>GDN / KDA 各 4 种打包：2 段等长 / 3 段等长 / 3 段不等长 / 单段对照</x:v>
      </x:c>
    </x:row>
    <x:row r="9">
      <x:c r="A9" s="19" t="str">
        <x:v>分组</x:v>
      </x:c>
      <x:c r="B9" s="19" t="str">
        <x:v>精度-GVA</x:v>
      </x:c>
      <x:c r="C9" s="25" t="n">
        <x:f>COUNTIF('用例表'!$B$9:$B$49,"精度-GVA")</x:f>
        <x:v>7</x:v>
      </x:c>
      <x:c r="D9" s="19" t="str">
        <x:v>1:2 / 1:3 / 1:4 / 1:8 / 1:32 + 两条 varlen 组合；只落在 GDN</x:v>
      </x:c>
    </x:row>
    <x:row r="10">
      <x:c r="A10" s="19" t="str">
        <x:v>分组</x:v>
      </x:c>
      <x:c r="B10" s="19" t="str">
        <x:v>精度-dtype</x:v>
      </x:c>
      <x:c r="C10" s="25" t="n">
        <x:f>COUNTIF('用例表'!$B$9:$B$49,"精度-dtype")</x:f>
        <x:v>4</x:v>
      </x:c>
      <x:c r="D10" s="19" t="str">
        <x:v>GDN / KDA × gate FP32 / BF16</x:v>
      </x:c>
    </x:row>
    <x:row r="11">
      <x:c r="A11" s="19" t="str">
        <x:v>分组</x:v>
      </x:c>
      <x:c r="B11" s="19" t="str">
        <x:v>精度-并行度</x:v>
      </x:c>
      <x:c r="C11" s="25" t="n">
        <x:f>COUNTIF('用例表'!$B$9:$B$49,"精度-并行度")</x:f>
        <x:v>6</x:v>
      </x:c>
      <x:c r="D11" s="19" t="str">
        <x:v>Nseq × HV 从 8 到 512，覆盖用不满核到多波</x:v>
      </x:c>
    </x:row>
    <x:row r="12">
      <x:c r="A12" s="19" t="str">
        <x:v>分组</x:v>
      </x:c>
      <x:c r="B12" s="19" t="str">
        <x:v>精度-子区间</x:v>
      </x:c>
      <x:c r="C12" s="25" t="n">
        <x:f>COUNTIF('用例表'!$B$9:$B$49,"精度-子区间")</x:f>
        <x:v>2</x:v>
      </x:c>
      <x:c r="D12" s="19" t="str">
        <x:v>竞品调用形态：张量 T 轴比窗口长，cu_seqlens=[bos,eos]（bos&gt;0 / eos&lt;T）</x:v>
      </x:c>
    </x:row>
    <x:row r="13">
      <x:c r="A13" s="19" t="str">
        <x:v>分组</x:v>
      </x:c>
      <x:c r="B13" s="19" t="str">
        <x:v>性能</x:v>
      </x:c>
      <x:c r="C13" s="25" t="n">
        <x:f>COUNTIF('用例表'!$B$9:$B$49,"性能")</x:f>
        <x:v>4</x:v>
      </x:c>
      <x:c r="D13" s="19" t="str">
        <x:v>对齐 H20 的 model-gk / model-g + CP=2 窗口 + 长窗口</x:v>
      </x:c>
    </x:row>
    <x:row r="14">
      <x:c r="A14" s="19" t="str">
        <x:v>路径</x:v>
      </x:c>
      <x:c r="B14" s="19" t="str">
        <x:v>GDN</x:v>
      </x:c>
      <x:c r="C14" s="25" t="n">
        <x:f>COUNTIF('用例表'!$D$9:$D$49,"GDN")</x:f>
        <x:v>25</x:v>
      </x:c>
      <x:c r="D14" s="19" t="str">
        <x:v>含 GVA 7 条（GVA 仅存在于 g-only 路径）</x:v>
      </x:c>
    </x:row>
    <x:row r="15">
      <x:c r="A15" s="19" t="str">
        <x:v>路径</x:v>
      </x:c>
      <x:c r="B15" s="19" t="str">
        <x:v>KDA</x:v>
      </x:c>
      <x:c r="C15" s="25" t="n">
        <x:f>COUNTIF('用例表'!$D$9:$D$49,"KDA")</x:f>
        <x:v>16</x:v>
      </x:c>
      <x:c r="D15" s="19" t="str">
        <x:v>与 GDN 同量级，形状维度与并行度都覆盖</x:v>
      </x:c>
    </x:row>
    <x:row r="16">
      <x:c r="A16" s="19" t="str">
        <x:v>路径</x:v>
      </x:c>
      <x:c r="B16" s="19" t="str">
        <x:v>DPLR</x:v>
      </x:c>
      <x:c r="C16" s="25" t="n">
        <x:v>0</x:v>
      </x:c>
      <x:c r="D16" s="19" t="str">
        <x:v>预留：本轮不纳入用例（接口与 03 设计已覆盖，不实现、不验收）</x:v>
      </x:c>
    </x:row>
    <x:row r="17">
      <x:c r="A17" s="19" t="str">
        <x:v>varlen 打包</x:v>
      </x:c>
      <x:c r="B17" s="19" t="str">
        <x:v>B ≡ 1 且给 cu_seqlens</x:v>
      </x:c>
      <x:c r="C17" s="25" t="n">
        <x:f>COUNTIF('用例表'!$O$9:$O$49,"是")</x:f>
        <x:v>41</x:v>
      </x:c>
      <x:c r="D17" s="19" t="str">
        <x:v>全部用例都是打包窗口（与竞品 CP 契约一致）；单段用 [0,T] 或子区间 [bos,eos]</x:v>
      </x:c>
    </x:row>
    <x:row r="18">
      <x:c r="A18" s="19" t="str">
        <x:v>序列数</x:v>
      </x:c>
      <x:c r="B18" s="19" t="str">
        <x:v>Nseq &gt; 1</x:v>
      </x:c>
      <x:c r="C18" s="25" t="n">
        <x:f>COUNTIF('用例表'!$F$9:$F$49,"&gt;1")</x:f>
        <x:v>8</x:v>
      </x:c>
      <x:c r="D18" s="19" t="str">
        <x:v>多段打包（2/3 段 + 并行度组的 16/64 段）；Nseq=1 是对照与性能组</x:v>
      </x:c>
    </x:row>
    <x:row r="19">
      <x:c r="A19" s="19" t="str">
        <x:v>GVA</x:v>
      </x:c>
      <x:c r="B19" s="19" t="str">
        <x:v>HK != HV</x:v>
      </x:c>
      <x:c r="C19" s="25" t="n">
        <x:f>SUMPRODUCT(--('用例表'!$E$9:$E$49&lt;&gt;'用例表'!$F$9:$F$49))</x:f>
        <x:v>8</x:v>
      </x:c>
      <x:c r="D19" s="19" t="str">
        <x:v>比例 1:2 / 1:3 / 1:4 / 1:8 / 1:32，倍数不设上限</x:v>
      </x:c>
    </x:row>
    <x:row r="20">
      <x:c r="A20" s="19" t="str">
        <x:v>尾块</x:v>
      </x:c>
      <x:c r="B20" s="19" t="str">
        <x:v>不整块（&lt;64 行）</x:v>
      </x:c>
      <x:c r="C20" s="25" t="n">
        <x:f>COUNTIF('用例表'!$L$9:$L$49,"&lt;64")</x:f>
        <x:v>13</x:v>
      </x:c>
      <x:c r="D20" s="19" t="str">
        <x:v>按最长段算，覆盖 1 / 3 / 63 三种余数</x:v>
      </x:c>
    </x:row>
    <x:row r="21">
      <x:c r="A21" s="19" t="str">
        <x:v>gate dtype</x:v>
      </x:c>
      <x:c r="B21" s="19" t="str">
        <x:v>BF16</x:v>
      </x:c>
      <x:c r="C21" s="25" t="n">
        <x:f>COUNTIF('用例表'!$N$9:$N$49,"BF16")</x:f>
        <x:v>0</x:v>
      </x:c>
      <x:c r="D21" s="19" t="str">
        <x:v>其余为 FP32</x:v>
      </x:c>
    </x:row>
    <x:row r="22">
      <x:c r="A22" s="19" t="str">
        <x:v>并行度</x:v>
      </x:c>
      <x:c r="B22" s="19" t="str">
        <x:v>Nwork 最小</x:v>
      </x:c>
      <x:c r="C22" s="25" t="n">
        <x:f>MIN('用例表'!$Q$9:$Q$49)</x:f>
        <x:v>8</x:v>
      </x:c>
      <x:c r="D22" s="19" t="str">
        <x:v>Nseq=1、HV=8：28 个 AIC 只用到 8 个</x:v>
      </x:c>
    </x:row>
    <x:row r="23">
      <x:c r="A23" s="19" t="str">
        <x:v>并行度</x:v>
      </x:c>
      <x:c r="B23" s="19" t="str">
        <x:v>Nwork 最大</x:v>
      </x:c>
      <x:c r="C23" s="25" t="n">
        <x:f>MAX('用例表'!$Q$9:$Q$49)</x:f>
        <x:v>512</x:v>
      </x:c>
      <x:c r="D23" s="19" t="str">
        <x:v>Nseq=64、HV=8：18.3 波</x:v>
      </x:c>
    </x:row>
    <x:row r="24">
      <x:c r="A24" s="19" t="str">
        <x:v>规模</x:v>
      </x:c>
      <x:c r="B24" s="19" t="str">
        <x:v>NT 最大</x:v>
      </x:c>
      <x:c r="C24" s="25" t="n">
        <x:f>MAX('用例表'!$K$9:$K$49)</x:f>
        <x:v>512</x:v>
      </x:c>
      <x:c r="D24" s="19" t="str">
        <x:v>T_win=32767 的超长窗口</x:v>
      </x:c>
    </x:row>
    <x:row r="25">
      <x:c r="A25" s="19" t="str">
        <x:v>性能风险</x:v>
      </x:c>
      <x:c r="B25" s="19" t="str">
        <x:v>高</x:v>
      </x:c>
      <x:c r="C25" s="25" t="n">
        <x:f>COUNTIF('用例表'!$R$9:$R$49,"高")</x:f>
        <x:v>4</x:v>
      </x:c>
      <x:c r="D25" s="19" t="str">
        <x:v>NT=1 的固定开销、Nwork=8/16 用不满核；04 起就要预留优化手段</x:v>
      </x:c>
    </x:row>
    <x:row r="26">
      <x:c r="A26" s="19" t="str">
        <x:v>性能风险</x:v>
      </x:c>
      <x:c r="B26" s="19" t="str">
        <x:v>中</x:v>
      </x:c>
      <x:c r="C26" s="25" t="n">
        <x:f>COUNTIF('用例表'!$R$9:$R$49,"中")</x:f>
        <x:v>7</x:v>
      </x:c>
      <x:c r="D26" s="19" t="str">
        <x:v>短窗口、varlen 不等长、gate=FP32</x:v>
      </x:c>
    </x:row>
    <x:row r="27">
      <x:c r="A27" s="20" t="str">
        <x:v>性能风险</x:v>
      </x:c>
      <x:c r="B27" s="20" t="str">
        <x:v>低</x:v>
      </x:c>
      <x:c r="C27" s="26" t="n">
        <x:f>COUNTIF('用例表'!$R$9:$R$49,"低")</x:f>
        <x:v>30</x:v>
      </x:c>
      <x:c r="D27" s="20" t="str">
        <x:v>长窗口、GVA、并行度充足的组合</x:v>
      </x:c>
    </x:row>
    <x:row r="30">
      <x:c r="A30" s="45" t="str">
        <x:v>与 GDN 泛化用例表的对应与差异</x:v>
      </x:c>
    </x:row>
    <x:row r="31">
      <x:c r="A31" s="40" t="str">
        <x:v>项目</x:v>
      </x:c>
      <x:c r="B31" s="41" t="str">
        <x:v>GDN 泛化用例表</x:v>
      </x:c>
      <x:c r="C31" s="41" t="str">
        <x:v>本算子用例表</x:v>
      </x:c>
      <x:c r="D31" s="42" t="str">
        <x:v>处理方式</x:v>
      </x:c>
    </x:row>
    <x:row r="32">
      <x:c r="A32" s="19" t="str">
        <x:v>算子粒度</x:v>
      </x:c>
      <x:c r="B32" s="19" t="str">
        <x:v>整条 GDN 前向链</x:v>
      </x:c>
      <x:c r="C32" s="25" t="str">
        <x:v>单窗口算子（一次一个 part）</x:v>
      </x:c>
      <x:c r="D32" s="19" t="str">
        <x:v>本算子只承担 CP 前处理</x:v>
      </x:c>
    </x:row>
    <x:row r="33">
      <x:c r="A33" s="19" t="str">
        <x:v>layout</x:v>
      </x:c>
      <x:c r="B33" s="19" t="str">
        <x:v>BSND（token-major）</x:v>
      </x:c>
      <x:c r="C33" s="25" t="str">
        <x:v>BNSD（head-major）</x:v>
      </x:c>
      <x:c r="D33" s="19" t="str">
        <x:v>按仓内 AscendC 约定统一为 BNSD；上游 token-major 由调用方吸收</x:v>
      </x:c>
    </x:row>
    <x:row r="34">
      <x:c r="A34" s="19" t="str">
        <x:v>head 约定</x:v>
      </x:c>
      <x:c r="B34" s="19" t="str">
        <x:v>k 在 HK 维；GVA 由 kernel 内部映射</x:v>
      </x:c>
      <x:c r="C34" s="25" t="str">
        <x:v>同左</x:v>
      </x:c>
      <x:c r="D34" s="19" t="str">
        <x:v>保留 GVA：k 在 HK 维、其余在 HV 维，kernel 按 hk = hv // (HV/HK) 复用 key head</x:v>
      </x:c>
    </x:row>
    <x:row r="35">
      <x:c r="A35" s="19" t="str">
        <x:v>T</x:v>
      </x:c>
      <x:c r="B35" s="19" t="str">
        <x:v>全局序列长度 24~65536</x:v>
      </x:c>
      <x:c r="C35" s="25" t="str">
        <x:v>每窗口 T_win</x:v>
      </x:c>
      <x:c r="D35" s="19" t="str">
        <x:v>T_win = 全局 T / CP world_size；性能组保留 11264/2=5632 的 CP 口径</x:v>
      </x:c>
    </x:row>
    <x:row r="36">
      <x:c r="A36" s="19" t="str">
        <x:v>B</x:v>
      </x:c>
      <x:c r="B36" s="19" t="str">
        <x:v>1~711（batch）</x:v>
      </x:c>
      <x:c r="C36" s="25" t="str">
        <x:v>恒为 1（窗口条数）</x:v>
      </x:c>
      <x:c r="D36" s="19" t="str">
        <x:v>CP 下每 rank 每 part 一次调用；B&gt;1 未纳入，需 03 tiling 确认</x:v>
      </x:c>
    </x:row>
    <x:row r="37">
      <x:c r="A37" s="19" t="str">
        <x:v>chunk_size</x:v>
      </x:c>
      <x:c r="B37" s="19" t="str">
        <x:v>64 与 128</x:v>
      </x:c>
      <x:c r="C37" s="25" t="str">
        <x:v>固定 64</x:v>
      </x:c>
      <x:c r="D37" s="19" t="str">
        <x:v>host 拦截其它值</x:v>
      </x:c>
    </x:row>
    <x:row r="38">
      <x:c r="A38" s="19" t="str">
        <x:v>Kdim</x:v>
      </x:c>
      <x:c r="B38" s="19" t="str">
        <x:v>全部 128</x:v>
      </x:c>
      <x:c r="C38" s="25" t="str">
        <x:v>固定 128</x:v>
      </x:c>
      <x:c r="D38" s="19" t="str">
        <x:v>按固定规格写死并拦截其它值，依据见 design.md 3.4</x:v>
      </x:c>
    </x:row>
    <x:row r="39">
      <x:c r="A39" s="19" t="str">
        <x:v>Vdim</x:v>
      </x:c>
      <x:c r="B39" s="19" t="str">
        <x:v>128 与 256</x:v>
      </x:c>
      <x:c r="C39" s="25" t="str">
        <x:v>固定 128</x:v>
      </x:c>
      <x:c r="D39" s="19" t="str">
        <x:v>同上；V=256 移出范围</x:v>
      </x:c>
    </x:row>
    <x:row r="40">
      <x:c r="A40" s="19" t="str">
        <x:v>GVA</x:v>
      </x:c>
      <x:c r="B40" s="19" t="str">
        <x:v>1:1 ~ 1:32（含 1:3、1:8）</x:v>
      </x:c>
      <x:c r="C40" s="25" t="str">
        <x:v>同左，倍数不设上限</x:v>
      </x:c>
      <x:c r="D40" s="19" t="str">
        <x:v>1:32 取自 GDN 表的 HV=64、HK=2；口径同 npu_chunk_fwd_h</x:v>
      </x:c>
    </x:row>
    <x:row r="41">
      <x:c r="A41" s="20" t="str">
        <x:v>varlen</x:v>
      </x:c>
      <x:c r="B41" s="20" t="str">
        <x:v>cu_seqlens 长度 1~668</x:v>
      </x:c>
      <x:c r="C41" s="26" t="str">
        <x:v>单窗口，N=1</x:v>
      </x:c>
      <x:c r="D41" s="20" t="str">
        <x:v>本算子本轮只支持 N=1</x:v>
      </x:c>
    </x:row>
    <x:row r="44">
      <x:c r="A44" s="45" t="str">
        <x:v>执行说明</x:v>
      </x:c>
    </x:row>
    <x:row r="45">
      <x:c r="A45" s="40" t="str">
        <x:v>项目</x:v>
      </x:c>
      <x:c r="B45" s="42" t="str">
        <x:v>内容</x:v>
      </x:c>
    </x:row>
    <x:row r="46">
      <x:c r="A46" s="19" t="str">
        <x:v>精度策略</x:v>
      </x:c>
      <x:c r="B46" s="19" t="str">
        <x:v>atol=1.5e-2 / rtol=2e-3 / max_abs_limit=0.05（reference/precision-policy.json）</x:v>
      </x:c>
      <x:c r="C46" s="47"/>
    </x:row>
    <x:row r="47">
      <x:c r="A47" s="19" t="str">
        <x:v>精度分区</x:v>
      </x:c>
      <x:c r="B47" s="19" t="str">
        <x:v>ALL、h 半边、m 半边、head0、head_last；m 半边用更严阈值复算</x:v>
      </x:c>
      <x:c r="C47" s="47"/>
    </x:row>
    <x:row r="48">
      <x:c r="A48" s="19" t="str">
        <x:v>性能判定</x:v>
      </x:c>
      <x:c r="B48" s="19" t="str">
        <x:v>msprof op_summary 的 Task Duration(us)，取中位数与分位数；预热与采样次数待固定</x:v>
      </x:c>
      <x:c r="C48" s="47"/>
    </x:row>
    <x:row r="49">
      <x:c r="A49" s="19" t="str">
        <x:v>对标基线</x:v>
      </x:c>
      <x:c r="B49" s="19" t="str">
        <x:v>H20 上游 kernel，T=11264/HK=HV=32/K=V=128/BT=64：default 1620.7us、tf32x3 3404.7us、ieee 18321.6us</x:v>
      </x:c>
      <x:c r="C49" s="47"/>
    </x:row>
    <x:row r="50">
      <x:c r="A50" s="19" t="str">
        <x:v>H20 基线分支</x:v>
      </x:c>
      <x:c r="B50" s="19" t="str">
        <x:v>已推送到 Coding-Pangolin/flash-linear-attention 的 bench/cp-pre-process-h20，采集脚本见仓库 README</x:v>
      </x:c>
      <x:c r="C50" s="47"/>
    </x:row>
    <x:row r="51">
      <x:c r="A51" s="19" t="str">
        <x:v>分档来源</x:v>
      </x:c>
      <x:c r="B51" s="19" t="str">
        <x:v>docs/design.md 3.4 容量模型；复算脚本 scripts/partition_model.py</x:v>
      </x:c>
      <x:c r="C51" s="47"/>
    </x:row>
    <x:row r="52">
      <x:c r="A52" s="20" t="str">
        <x:v>用例落点</x:v>
      </x:c>
      <x:c r="B52" s="20" t="str">
        <x:v>建议 tests/atk/pre_process_fwd_kernel_merged/，开发期先用算子工程 test/（05 阶段定）</x:v>
      </x:c>
      <x:c r="C52" s="47"/>
    </x:row>
  </x:sheetData>
  <x:pageMargins left="0.7" right="0.7" top="0.75" bottom="0.75" header="0.3" footer="0.3"/>
</x:worksheet>
</file>